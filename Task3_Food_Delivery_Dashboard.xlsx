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codeorbit data analyst internship\"/>
    </mc:Choice>
  </mc:AlternateContent>
  <xr:revisionPtr revIDLastSave="0" documentId="8_{5AB32C64-FABA-4078-BDE8-91AB843184B3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Sheet2" sheetId="3" r:id="rId1"/>
    <sheet name="Sheet3" sheetId="5" r:id="rId2"/>
    <sheet name="Sheet4" sheetId="6" r:id="rId3"/>
    <sheet name="Sheet5" sheetId="7" r:id="rId4"/>
    <sheet name="Sheet1" sheetId="1" r:id="rId5"/>
    <sheet name="Dashboard" sheetId="2" r:id="rId6"/>
  </sheets>
  <calcPr calcId="191029"/>
  <pivotCaches>
    <pivotCache cacheId="3" r:id="rId7"/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<sst xmlns="http://schemas.openxmlformats.org/spreadsheetml/2006/main" count="2323" uniqueCount="47">
  <si>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</si>
  <si>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</si>
  <si>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</si>
  <si>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</si>
  <si>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</si>
  <si>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</si>
  <si>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</si>
  <si>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</si>
  <si>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</si>
  <si>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</si>
  <si>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</si>
  <si>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</si>
  <si>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</si>
  <si>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</si>
  <si>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</si>
  <si>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</si>
  <si>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</si>
  <si>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</si>
  <si>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</si>
  <si>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</si>
  <si>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</si>
  <si>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</si>
  <si>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</si>
  <si>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</si>
  <si>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</si>
  <si>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</si>
  <si>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</si>
  <si>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</si>
  <si>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</si>
  <si>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</si>
  <si>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</si>
  <si>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</si>
  <si>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</si>
  <si>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</si>
  <si>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</si>
  <si>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</si>
  <si>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</si>
  <si>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</si>
  <si>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</si>
  <si>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Total Customers</t>
  </si>
  <si>
    <t>Positive Feedback</t>
  </si>
  <si>
    <t>Negative Feedback</t>
  </si>
  <si>
    <t>Row Labels</t>
  </si>
  <si>
    <t>Grand Total</t>
  </si>
  <si>
    <t>Count of Feedback</t>
  </si>
  <si>
    <t>Sum of Age</t>
  </si>
  <si>
    <t>ONLINE FOOD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</si>
</sst>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95-410F-A17D-AAD8AFE59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5-410F-A17D-AAD8AFE59114}"/>
              </c:ext>
            </c:extLst>
          </c:dPt>
          <c:cat>
            <c:strRef>
              <c:f>Sheet2!$A$4:$A$6</c:f>
              <c:strCache>
                <c:ptCount val="2"/>
                <c:pt idx="0">
                  <c:v>Negative </c:v>
                </c:pt>
                <c:pt idx="1">
                  <c:v>Positive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54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95-410F-A17D-AAD8AFE59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105</c:v>
                </c:pt>
                <c:pt idx="1">
                  <c:v>18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F-4564-9BBF-0ED31E919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011231"/>
        <c:axId val="352618735"/>
      </c:barChart>
      <c:catAx>
        <c:axId val="43201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18735"/>
        <c:crosses val="autoZero"/>
        <c:auto val="1"/>
        <c:lblAlgn val="ctr"/>
        <c:lblOffset val="100"/>
        <c:noMultiLvlLbl val="0"/>
      </c:catAx>
      <c:valAx>
        <c:axId val="3526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1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[Task3_Food_Delivery_Dashboard.xlsx]Sheet4!PivotTable4</c:name>
    <c:fmtId val="3"/>
  </c:pivotSource>
  <c:chart>
    <c:title>
      <c:layout>
        <c:manualLayout>
          <c:xMode val="edge"/>
          <c:yMode val="edge"/>
          <c:x val="0.57027777777777788"/>
          <c:y val="0.14855356075895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Employee</c:v>
                </c:pt>
                <c:pt idx="1">
                  <c:v>House wife</c:v>
                </c:pt>
                <c:pt idx="2">
                  <c:v>Self Employeed</c:v>
                </c:pt>
                <c:pt idx="3">
                  <c:v>Student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2473</c:v>
                </c:pt>
                <c:pt idx="1">
                  <c:v>273</c:v>
                </c:pt>
                <c:pt idx="2">
                  <c:v>1005</c:v>
                </c:pt>
                <c:pt idx="3">
                  <c:v>3282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C-4DA0-9E17-16F11763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025343"/>
        <c:axId val="352616815"/>
        <c:axId val="255744095"/>
      </c:area3DChart>
      <c:catAx>
        <c:axId val="36002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16815"/>
        <c:crosses val="autoZero"/>
        <c:auto val="1"/>
        <c:lblAlgn val="ctr"/>
        <c:lblOffset val="100"/>
        <c:noMultiLvlLbl val="0"/>
      </c:catAx>
      <c:valAx>
        <c:axId val="3526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25343"/>
        <c:crosses val="autoZero"/>
        <c:crossBetween val="midCat"/>
      </c:valAx>
      <c:serAx>
        <c:axId val="2557440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168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[Task3_Food_Delivery_Dashboard.xlsx]Sheet5!PivotTable5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Sheet5!$A$4:$A$9</c:f>
              <c:strCache>
                <c:ptCount val="5"/>
                <c:pt idx="0">
                  <c:v>10001 to 25000</c:v>
                </c:pt>
                <c:pt idx="1">
                  <c:v>25001 to 50000</c:v>
                </c:pt>
                <c:pt idx="2">
                  <c:v>Below Rs.10000</c:v>
                </c:pt>
                <c:pt idx="3">
                  <c:v>More than 50000</c:v>
                </c:pt>
                <c:pt idx="4">
                  <c:v>No Income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890</c:v>
                </c:pt>
                <c:pt idx="1">
                  <c:v>1363</c:v>
                </c:pt>
                <c:pt idx="2">
                  <c:v>451</c:v>
                </c:pt>
                <c:pt idx="3">
                  <c:v>1284</c:v>
                </c:pt>
                <c:pt idx="4">
                  <c:v>3045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1-4774-8956-2043071C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986399"/>
        <c:axId val="352702735"/>
      </c:lineChart>
      <c:catAx>
        <c:axId val="59198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02735"/>
        <c:crosses val="autoZero"/>
        <c:auto val="1"/>
        <c:lblAlgn val="ctr"/>
        <c:lblOffset val="100"/>
        <c:noMultiLvlLbl val="0"/>
      </c:catAx>
      <c:valAx>
        <c:axId val="35270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8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12</xdr:row>
      <xdr:rowOff>95250</xdr:rowOff>
    </xdr:from>
    <xdr:to>
      <xdr:col>4</xdr:col>
      <xdr:colOff>146050</xdr:colOff>
      <xdr:row>23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0A05B-25D1-4CA3-B07B-41F7DD242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12</xdr:row>
      <xdr:rowOff>19051</xdr:rowOff>
    </xdr:from>
    <xdr:to>
      <xdr:col>11</xdr:col>
      <xdr:colOff>438150</xdr:colOff>
      <xdr:row>23</xdr:row>
      <xdr:rowOff>146051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B630C-23D5-47BE-9533-41DD84E07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23</xdr:row>
      <xdr:rowOff>177800</xdr:rowOff>
    </xdr:from>
    <xdr:to>
      <xdr:col>4</xdr:col>
      <xdr:colOff>133350</xdr:colOff>
      <xdr:row>36</xdr:row>
      <xdr:rowOff>158751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DFCE9-3871-4EDD-ACAE-5551C940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171450</xdr:colOff>
      <xdr:row>23</xdr:row>
      <xdr:rowOff>171450</xdr:rowOff>
    </xdr:from>
    <xdr:to>
      <xdr:col>11</xdr:col>
      <xdr:colOff>476250</xdr:colOff>
      <xdr:row>36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5554B2-988D-440A-ADB7-5AB4A4FF6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8.888536458333" createdVersion="8" refreshedVersion="8" minRefreshableVersion="3" recordCount="285" xr:uid="{ABE2C723-F96D-4893-89BF-7A2BEFDF4E5C}">
  <cacheSource type="worksheet">
    <worksheetSource ref="M1:M286" sheet="Sheet1"/>
  </cacheSource>
  <cacheFields count="1"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8.901519560182" createdVersion="8" refreshedVersion="8" minRefreshableVersion="3" recordCount="285" xr:uid="{2382EFC1-1B56-40D7-8E9E-D0D9E076D0A2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s v="Positive"/>
  </r>
  <r>
    <n v="24"/>
    <s v="Female"/>
    <s v="Single"/>
    <x v="0"/>
    <x v="1"/>
    <s v="Graduate"/>
    <n v="3"/>
    <x v="1"/>
    <n v="12.977"/>
    <n v="77.577299999999994"/>
    <n v="560009"/>
    <s v="Yes"/>
    <s v="Positive"/>
  </r>
  <r>
    <n v="22"/>
    <s v="Male"/>
    <s v="Single"/>
    <x v="0"/>
    <x v="1"/>
    <s v="Post Graduate"/>
    <n v="3"/>
    <x v="1"/>
    <n v="12.9551"/>
    <n v="77.659300000000002"/>
    <n v="560017"/>
    <s v="Yes"/>
    <s v="Negative "/>
  </r>
  <r>
    <n v="22"/>
    <s v="Female"/>
    <s v="Single"/>
    <x v="0"/>
    <x v="0"/>
    <s v="Graduate"/>
    <n v="6"/>
    <x v="0"/>
    <n v="12.9473"/>
    <n v="77.561599999999999"/>
    <n v="560019"/>
    <s v="Yes"/>
    <s v="Positive"/>
  </r>
  <r>
    <n v="22"/>
    <s v="Male"/>
    <s v="Single"/>
    <x v="0"/>
    <x v="1"/>
    <s v="Post Graduate"/>
    <n v="4"/>
    <x v="0"/>
    <n v="12.984999999999999"/>
    <n v="77.553299999999993"/>
    <n v="560010"/>
    <s v="Yes"/>
    <s v="Positive"/>
  </r>
  <r>
    <n v="27"/>
    <s v="Female"/>
    <s v="Married"/>
    <x v="1"/>
    <x v="2"/>
    <s v="Post Graduate"/>
    <n v="2"/>
    <x v="1"/>
    <n v="12.9299"/>
    <n v="77.684799999999996"/>
    <n v="560103"/>
    <s v="Yes"/>
    <s v="Positive"/>
  </r>
  <r>
    <n v="22"/>
    <s v="Male"/>
    <s v="Single"/>
    <x v="0"/>
    <x v="0"/>
    <s v="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3"/>
    <x v="1"/>
    <n v="12.982799999999999"/>
    <n v="77.613100000000003"/>
    <n v="560042"/>
    <s v="Yes"/>
    <s v="Positive"/>
  </r>
  <r>
    <n v="23"/>
    <s v="Female"/>
    <s v="Single"/>
    <x v="0"/>
    <x v="0"/>
    <s v="Post Graduate"/>
    <n v="2"/>
    <x v="1"/>
    <n v="12.976599999999999"/>
    <n v="77.599299999999999"/>
    <n v="560001"/>
    <s v="Yes"/>
    <s v="Positive"/>
  </r>
  <r>
    <n v="23"/>
    <s v="Female"/>
    <s v="Single"/>
    <x v="0"/>
    <x v="0"/>
    <s v="Post Graduate"/>
    <n v="4"/>
    <x v="0"/>
    <n v="12.9854"/>
    <n v="77.708100000000002"/>
    <n v="560048"/>
    <s v="Yes"/>
    <s v="Positive"/>
  </r>
  <r>
    <n v="22"/>
    <s v="Female"/>
    <s v="Single"/>
    <x v="0"/>
    <x v="0"/>
    <s v="Post Graduate"/>
    <n v="5"/>
    <x v="0"/>
    <n v="12.984999999999999"/>
    <n v="77.553299999999993"/>
    <n v="560010"/>
    <s v="Yes"/>
    <s v="Positive"/>
  </r>
  <r>
    <n v="23"/>
    <s v="Male"/>
    <s v="Single"/>
    <x v="0"/>
    <x v="1"/>
    <s v="Post Graduate"/>
    <n v="2"/>
    <x v="1"/>
    <n v="12.977"/>
    <n v="77.577299999999994"/>
    <n v="560009"/>
    <s v="Yes"/>
    <s v="Negative "/>
  </r>
  <r>
    <n v="23"/>
    <s v="Male"/>
    <s v="Single"/>
    <x v="0"/>
    <x v="0"/>
    <s v="Post Graduate"/>
    <n v="5"/>
    <x v="0"/>
    <n v="12.8988"/>
    <n v="77.576400000000007"/>
    <n v="560078"/>
    <s v="Yes"/>
    <s v="Positive"/>
  </r>
  <r>
    <n v="21"/>
    <s v="Male"/>
    <s v="Single"/>
    <x v="0"/>
    <x v="0"/>
    <s v="Graduate"/>
    <n v="4"/>
    <x v="0"/>
    <n v="12.977"/>
    <n v="77.577299999999994"/>
    <n v="560009"/>
    <s v="Yes"/>
    <s v="Positive"/>
  </r>
  <r>
    <n v="23"/>
    <s v="Female"/>
    <s v="Single"/>
    <x v="2"/>
    <x v="3"/>
    <s v="Post Graduate"/>
    <n v="5"/>
    <x v="0"/>
    <n v="12.9438"/>
    <n v="77.573800000000006"/>
    <n v="560004"/>
    <s v="Yes"/>
    <s v="Positive"/>
  </r>
  <r>
    <n v="24"/>
    <s v="Female"/>
    <s v="Single"/>
    <x v="0"/>
    <x v="0"/>
    <s v="Post Graduate"/>
    <n v="6"/>
    <x v="0"/>
    <n v="12.8893"/>
    <n v="77.639899999999997"/>
    <n v="560068"/>
    <s v="Yes"/>
    <s v="Positive"/>
  </r>
  <r>
    <n v="28"/>
    <s v="Female"/>
    <s v="Single"/>
    <x v="1"/>
    <x v="4"/>
    <s v="Post Graduate"/>
    <n v="2"/>
    <x v="1"/>
    <n v="12.978300000000001"/>
    <n v="77.640799999999999"/>
    <n v="560038"/>
    <s v="Yes"/>
    <s v="Positive"/>
  </r>
  <r>
    <n v="23"/>
    <s v="Female"/>
    <s v="Single"/>
    <x v="0"/>
    <x v="0"/>
    <s v="Graduate"/>
    <n v="3"/>
    <x v="1"/>
    <n v="12.981999999999999"/>
    <n v="77.625600000000006"/>
    <n v="560008"/>
    <s v="Yes"/>
    <s v="Negative "/>
  </r>
  <r>
    <n v="25"/>
    <s v="Male"/>
    <s v="Single"/>
    <x v="0"/>
    <x v="0"/>
    <s v="Graduate"/>
    <n v="4"/>
    <x v="0"/>
    <n v="12.8988"/>
    <n v="77.576400000000007"/>
    <n v="560078"/>
    <s v="Yes"/>
    <s v="Negative "/>
  </r>
  <r>
    <n v="21"/>
    <s v="Female"/>
    <s v="Single"/>
    <x v="0"/>
    <x v="1"/>
    <s v="Post Graduate"/>
    <n v="1"/>
    <x v="2"/>
    <n v="12.978300000000001"/>
    <n v="77.640799999999999"/>
    <n v="560038"/>
    <s v="Yes"/>
    <s v="Positive"/>
  </r>
  <r>
    <n v="24"/>
    <s v="Male"/>
    <s v="Single"/>
    <x v="0"/>
    <x v="0"/>
    <s v="Post Graduate"/>
    <n v="3"/>
    <x v="1"/>
    <n v="12.977"/>
    <n v="77.577299999999994"/>
    <n v="560009"/>
    <s v="Yes"/>
    <s v="Positive"/>
  </r>
  <r>
    <n v="22"/>
    <s v="Male"/>
    <s v="Single"/>
    <x v="0"/>
    <x v="0"/>
    <s v="Post Graduate"/>
    <n v="4"/>
    <x v="0"/>
    <n v="13.0298"/>
    <n v="77.604699999999994"/>
    <n v="560032"/>
    <s v="Yes"/>
    <s v="Positive"/>
  </r>
  <r>
    <n v="22"/>
    <s v="Female"/>
    <s v="Single"/>
    <x v="0"/>
    <x v="0"/>
    <s v="Graduate"/>
    <n v="4"/>
    <x v="0"/>
    <n v="12.9983"/>
    <n v="77.640900000000002"/>
    <n v="560033"/>
    <s v="Yes"/>
    <s v="Positive"/>
  </r>
  <r>
    <n v="23"/>
    <s v="Male"/>
    <s v="Single"/>
    <x v="0"/>
    <x v="0"/>
    <s v="Graduate"/>
    <n v="4"/>
    <x v="0"/>
    <n v="12.9925"/>
    <n v="77.563299999999998"/>
    <n v="560021"/>
    <s v="Yes"/>
    <s v="Positive"/>
  </r>
  <r>
    <n v="21"/>
    <s v="Male"/>
    <s v="Single"/>
    <x v="0"/>
    <x v="1"/>
    <s v="Post Graduate"/>
    <n v="3"/>
    <x v="1"/>
    <n v="12.9306"/>
    <n v="77.543400000000005"/>
    <n v="560085"/>
    <s v="Yes"/>
    <s v="Positive"/>
  </r>
  <r>
    <n v="25"/>
    <s v="Male"/>
    <s v="Single"/>
    <x v="0"/>
    <x v="0"/>
    <s v="Post Graduate"/>
    <n v="3"/>
    <x v="1"/>
    <n v="12.981999999999999"/>
    <n v="77.625600000000006"/>
    <n v="560008"/>
    <s v="Yes"/>
    <s v="Positive"/>
  </r>
  <r>
    <n v="22"/>
    <s v="Female"/>
    <s v="Single"/>
    <x v="0"/>
    <x v="0"/>
    <s v="Post Graduate"/>
    <n v="5"/>
    <x v="0"/>
    <n v="12.9353"/>
    <n v="77.558499999999995"/>
    <n v="560050"/>
    <s v="Yes"/>
    <s v="Positive"/>
  </r>
  <r>
    <n v="22"/>
    <s v="Male"/>
    <s v="Single"/>
    <x v="0"/>
    <x v="0"/>
    <s v="Post Graduate"/>
    <n v="3"/>
    <x v="1"/>
    <n v="12.9155"/>
    <n v="77.513499999999993"/>
    <n v="560098"/>
    <s v="Yes"/>
    <s v="Positive"/>
  </r>
  <r>
    <n v="23"/>
    <s v="Female"/>
    <s v="Single"/>
    <x v="1"/>
    <x v="3"/>
    <s v="Graduate"/>
    <n v="3"/>
    <x v="1"/>
    <n v="12.9854"/>
    <n v="77.708100000000002"/>
    <n v="560048"/>
    <s v="Yes"/>
    <s v="Positive"/>
  </r>
  <r>
    <n v="22"/>
    <s v="Male"/>
    <s v="Single"/>
    <x v="0"/>
    <x v="1"/>
    <s v="Post Graduate"/>
    <n v="4"/>
    <x v="0"/>
    <n v="13.001899999999999"/>
    <n v="77.571299999999994"/>
    <n v="560003"/>
    <s v="Yes"/>
    <s v="Positive"/>
  </r>
  <r>
    <n v="22"/>
    <s v="Female"/>
    <s v="Single"/>
    <x v="1"/>
    <x v="3"/>
    <s v="Graduate"/>
    <n v="5"/>
    <x v="0"/>
    <n v="12.969799999999999"/>
    <n v="77.75"/>
    <n v="560066"/>
    <s v="Yes"/>
    <s v="Positive"/>
  </r>
  <r>
    <n v="22"/>
    <s v="Male"/>
    <s v="Single"/>
    <x v="0"/>
    <x v="0"/>
    <s v="Post Graduate"/>
    <n v="4"/>
    <x v="0"/>
    <n v="12.978300000000001"/>
    <n v="77.640799999999999"/>
    <n v="560038"/>
    <s v="Yes"/>
    <s v="Positive"/>
  </r>
  <r>
    <n v="25"/>
    <s v="Male"/>
    <s v="Married"/>
    <x v="1"/>
    <x v="2"/>
    <s v="Ph.D"/>
    <n v="4"/>
    <x v="0"/>
    <n v="12.9261"/>
    <n v="77.622100000000003"/>
    <n v="560034"/>
    <s v="Yes"/>
    <s v="Positive"/>
  </r>
  <r>
    <n v="22"/>
    <s v="Female"/>
    <s v="Single"/>
    <x v="0"/>
    <x v="3"/>
    <s v="Post Graduate"/>
    <n v="5"/>
    <x v="0"/>
    <n v="12.984999999999999"/>
    <n v="77.553299999999993"/>
    <n v="560010"/>
    <s v="Yes"/>
    <s v="Positive"/>
  </r>
  <r>
    <n v="22"/>
    <s v="Female"/>
    <s v="Single"/>
    <x v="0"/>
    <x v="0"/>
    <s v="Post Graduate"/>
    <n v="2"/>
    <x v="1"/>
    <n v="12.911899999999999"/>
    <n v="77.644599999999997"/>
    <n v="560102"/>
    <s v="Yes"/>
    <s v="Positive"/>
  </r>
  <r>
    <n v="25"/>
    <s v="Male"/>
    <s v="Single"/>
    <x v="0"/>
    <x v="3"/>
    <s v="Post Graduate"/>
    <n v="3"/>
    <x v="1"/>
    <n v="12.9306"/>
    <n v="77.543400000000005"/>
    <n v="560085"/>
    <s v="Yes"/>
    <s v="Positive"/>
  </r>
  <r>
    <n v="25"/>
    <s v="Male"/>
    <s v="Single"/>
    <x v="0"/>
    <x v="0"/>
    <s v="Post Graduate"/>
    <n v="5"/>
    <x v="0"/>
    <n v="12.977"/>
    <n v="77.577299999999994"/>
    <n v="560009"/>
    <s v="No"/>
    <s v="Positive"/>
  </r>
  <r>
    <n v="32"/>
    <s v="Female"/>
    <s v="Prefer not to say"/>
    <x v="3"/>
    <x v="0"/>
    <s v="Graduate"/>
    <n v="5"/>
    <x v="0"/>
    <n v="12.981999999999999"/>
    <n v="77.625600000000006"/>
    <n v="560008"/>
    <s v="Yes"/>
    <s v="Negative "/>
  </r>
  <r>
    <n v="23"/>
    <s v="Female"/>
    <s v="Single"/>
    <x v="0"/>
    <x v="0"/>
    <s v="Post Graduate"/>
    <n v="3"/>
    <x v="1"/>
    <n v="12.9438"/>
    <n v="77.573800000000006"/>
    <n v="560004"/>
    <s v="Yes"/>
    <s v="Positive"/>
  </r>
  <r>
    <n v="23"/>
    <s v="Female"/>
    <s v="Single"/>
    <x v="0"/>
    <x v="0"/>
    <s v="Post Graduate"/>
    <n v="4"/>
    <x v="0"/>
    <n v="12.8988"/>
    <n v="77.576400000000007"/>
    <n v="560078"/>
    <s v="Yes"/>
    <s v="Positive"/>
  </r>
  <r>
    <n v="30"/>
    <s v="Male"/>
    <s v="Married"/>
    <x v="2"/>
    <x v="2"/>
    <s v="Uneducated"/>
    <n v="4"/>
    <x v="0"/>
    <n v="12.966200000000001"/>
    <n v="77.606800000000007"/>
    <n v="560025"/>
    <s v="Yes"/>
    <s v="Negative "/>
  </r>
  <r>
    <n v="23"/>
    <s v="Male"/>
    <s v="Single"/>
    <x v="0"/>
    <x v="0"/>
    <s v="Graduate"/>
    <n v="3"/>
    <x v="1"/>
    <n v="12.9565"/>
    <n v="77.548400000000001"/>
    <n v="560026"/>
    <s v="Yes"/>
    <s v="Positive"/>
  </r>
  <r>
    <n v="23"/>
    <s v="Male"/>
    <s v="Single"/>
    <x v="0"/>
    <x v="0"/>
    <s v="Post Graduate"/>
    <n v="4"/>
    <x v="0"/>
    <n v="12.9925"/>
    <n v="77.563299999999998"/>
    <n v="560021"/>
    <s v="Yes"/>
    <s v="Positive"/>
  </r>
  <r>
    <n v="22"/>
    <s v="Male"/>
    <s v="Single"/>
    <x v="0"/>
    <x v="0"/>
    <s v="Graduate"/>
    <n v="5"/>
    <x v="0"/>
    <n v="12.984999999999999"/>
    <n v="77.553299999999993"/>
    <n v="560010"/>
    <s v="Yes"/>
    <s v="Positive"/>
  </r>
  <r>
    <n v="27"/>
    <s v="Female"/>
    <s v="Married"/>
    <x v="2"/>
    <x v="3"/>
    <s v="Post Graduate"/>
    <n v="2"/>
    <x v="1"/>
    <n v="12.9261"/>
    <n v="77.622100000000003"/>
    <n v="560034"/>
    <s v="Yes"/>
    <s v="Positive"/>
  </r>
  <r>
    <n v="24"/>
    <s v="Female"/>
    <s v="Single"/>
    <x v="0"/>
    <x v="0"/>
    <s v="Post Graduate"/>
    <n v="3"/>
    <x v="1"/>
    <n v="12.977"/>
    <n v="77.577299999999994"/>
    <n v="560009"/>
    <s v="Yes"/>
    <s v="Positive"/>
  </r>
  <r>
    <n v="23"/>
    <s v="Male"/>
    <s v="Single"/>
    <x v="0"/>
    <x v="0"/>
    <s v="Post Graduate"/>
    <n v="2"/>
    <x v="1"/>
    <n v="12.977"/>
    <n v="77.577299999999994"/>
    <n v="560009"/>
    <s v="Yes"/>
    <s v="Positive"/>
  </r>
  <r>
    <n v="23"/>
    <s v="Female"/>
    <s v="Single"/>
    <x v="0"/>
    <x v="0"/>
    <s v="Graduate"/>
    <n v="5"/>
    <x v="0"/>
    <n v="13.0206"/>
    <n v="77.647900000000007"/>
    <n v="560043"/>
    <s v="Yes"/>
    <s v="Positive"/>
  </r>
  <r>
    <n v="23"/>
    <s v="Female"/>
    <s v="Single"/>
    <x v="0"/>
    <x v="0"/>
    <s v="Post Graduate"/>
    <n v="2"/>
    <x v="1"/>
    <n v="12.977"/>
    <n v="77.577299999999994"/>
    <n v="560009"/>
    <s v="Yes"/>
    <s v="Positive"/>
  </r>
  <r>
    <n v="25"/>
    <s v="Male"/>
    <s v="Single"/>
    <x v="0"/>
    <x v="0"/>
    <s v="Post Graduate"/>
    <n v="2"/>
    <x v="1"/>
    <n v="12.9635"/>
    <n v="77.582099999999997"/>
    <n v="560002"/>
    <s v="Yes"/>
    <s v="Positive"/>
  </r>
  <r>
    <n v="22"/>
    <s v="Male"/>
    <s v="Single"/>
    <x v="0"/>
    <x v="0"/>
    <s v="Post Graduate"/>
    <n v="3"/>
    <x v="1"/>
    <n v="12.9306"/>
    <n v="77.543400000000005"/>
    <n v="560085"/>
    <s v="Yes"/>
    <s v="Positive"/>
  </r>
  <r>
    <n v="28"/>
    <s v="Female"/>
    <s v="Married"/>
    <x v="0"/>
    <x v="0"/>
    <s v="Graduate"/>
    <n v="2"/>
    <x v="1"/>
    <n v="13.0067"/>
    <n v="77.545000000000002"/>
    <n v="560086"/>
    <s v="Yes"/>
    <s v="Positive"/>
  </r>
  <r>
    <n v="22"/>
    <s v="Female"/>
    <s v="Single"/>
    <x v="0"/>
    <x v="0"/>
    <s v="Post Graduate"/>
    <n v="1"/>
    <x v="2"/>
    <n v="12.884499999999999"/>
    <n v="77.6036"/>
    <n v="560076"/>
    <s v="Yes"/>
    <s v="Positive"/>
  </r>
  <r>
    <n v="24"/>
    <s v="Female"/>
    <s v="Single"/>
    <x v="0"/>
    <x v="0"/>
    <s v="Graduate"/>
    <n v="3"/>
    <x v="1"/>
    <n v="12.977"/>
    <n v="77.577299999999994"/>
    <n v="560009"/>
    <s v="Yes"/>
    <s v="Positive"/>
  </r>
  <r>
    <n v="31"/>
    <s v="Male"/>
    <s v="Married"/>
    <x v="1"/>
    <x v="2"/>
    <s v="Ph.D"/>
    <n v="5"/>
    <x v="0"/>
    <n v="12.911899999999999"/>
    <n v="77.644599999999997"/>
    <n v="560102"/>
    <s v="Yes"/>
    <s v="Positive"/>
  </r>
  <r>
    <n v="25"/>
    <s v="Male"/>
    <s v="Single"/>
    <x v="0"/>
    <x v="0"/>
    <s v="Post Graduate"/>
    <n v="4"/>
    <x v="0"/>
    <n v="13.0067"/>
    <n v="77.545000000000002"/>
    <n v="560086"/>
    <s v="Yes"/>
    <s v="Positive"/>
  </r>
  <r>
    <n v="22"/>
    <s v="Male"/>
    <s v="Single"/>
    <x v="0"/>
    <x v="0"/>
    <s v="Post Graduate"/>
    <n v="3"/>
    <x v="1"/>
    <n v="12.884499999999999"/>
    <n v="77.6036"/>
    <n v="560076"/>
    <s v="Yes"/>
    <s v="Positive"/>
  </r>
  <r>
    <n v="23"/>
    <s v="Male"/>
    <s v="Single"/>
    <x v="0"/>
    <x v="4"/>
    <s v="Post Graduate"/>
    <n v="1"/>
    <x v="2"/>
    <n v="13.0158"/>
    <n v="77.539000000000001"/>
    <n v="560096"/>
    <s v="Yes"/>
    <s v="Positive"/>
  </r>
  <r>
    <n v="23"/>
    <s v="Male"/>
    <s v="Single"/>
    <x v="0"/>
    <x v="0"/>
    <s v="Graduate"/>
    <n v="4"/>
    <x v="0"/>
    <n v="12.9343"/>
    <n v="77.604399999999998"/>
    <n v="560029"/>
    <s v="Yes"/>
    <s v="Positive"/>
  </r>
  <r>
    <n v="23"/>
    <s v="Female"/>
    <s v="Single"/>
    <x v="0"/>
    <x v="0"/>
    <s v="Post Graduate"/>
    <n v="2"/>
    <x v="1"/>
    <n v="13.001899999999999"/>
    <n v="77.571299999999994"/>
    <n v="560003"/>
    <s v="Yes"/>
    <s v="Positive"/>
  </r>
  <r>
    <n v="25"/>
    <s v="Male"/>
    <s v="Single"/>
    <x v="0"/>
    <x v="0"/>
    <s v="Post Graduate"/>
    <n v="6"/>
    <x v="0"/>
    <n v="13.001200000000001"/>
    <n v="77.599500000000006"/>
    <n v="560046"/>
    <s v="Yes"/>
    <s v="Positive"/>
  </r>
  <r>
    <n v="24"/>
    <s v="Male"/>
    <s v="Single"/>
    <x v="1"/>
    <x v="3"/>
    <s v="Graduate"/>
    <n v="4"/>
    <x v="0"/>
    <n v="12.9442"/>
    <n v="77.607600000000005"/>
    <n v="560030"/>
    <s v="Yes"/>
    <s v="Positive"/>
  </r>
  <r>
    <n v="23"/>
    <s v="Female"/>
    <s v="Single"/>
    <x v="0"/>
    <x v="0"/>
    <s v="Post Graduate"/>
    <n v="4"/>
    <x v="0"/>
    <n v="13.0487"/>
    <n v="77.592299999999994"/>
    <n v="560024"/>
    <s v="Yes"/>
    <s v="Positive"/>
  </r>
  <r>
    <n v="24"/>
    <s v="Female"/>
    <s v="Married"/>
    <x v="1"/>
    <x v="2"/>
    <s v="Ph.D"/>
    <n v="4"/>
    <x v="0"/>
    <n v="12.9438"/>
    <n v="77.573800000000006"/>
    <n v="560004"/>
    <s v="Yes"/>
    <s v="Positive"/>
  </r>
  <r>
    <n v="22"/>
    <s v="Male"/>
    <s v="Single"/>
    <x v="0"/>
    <x v="0"/>
    <s v="Graduate"/>
    <n v="4"/>
    <x v="0"/>
    <n v="12.988899999999999"/>
    <n v="77.574100000000001"/>
    <n v="560020"/>
    <s v="Yes"/>
    <s v="Positive"/>
  </r>
  <r>
    <n v="24"/>
    <s v="Female"/>
    <s v="Single"/>
    <x v="0"/>
    <x v="3"/>
    <s v="Post Graduate"/>
    <n v="3"/>
    <x v="1"/>
    <n v="12.9335"/>
    <n v="77.569100000000006"/>
    <n v="560028"/>
    <s v="No"/>
    <s v="Positive"/>
  </r>
  <r>
    <n v="25"/>
    <s v="Female"/>
    <s v="Single"/>
    <x v="0"/>
    <x v="0"/>
    <s v="Post Graduate"/>
    <n v="3"/>
    <x v="1"/>
    <n v="12.976599999999999"/>
    <n v="77.599299999999999"/>
    <n v="560001"/>
    <s v="Yes"/>
    <s v="Positive"/>
  </r>
  <r>
    <n v="23"/>
    <s v="Male"/>
    <s v="Single"/>
    <x v="0"/>
    <x v="0"/>
    <s v="Post Graduate"/>
    <n v="2"/>
    <x v="1"/>
    <n v="12.884499999999999"/>
    <n v="77.6036"/>
    <n v="560076"/>
    <s v="Yes"/>
    <s v="Positive"/>
  </r>
  <r>
    <n v="26"/>
    <s v="Male"/>
    <s v="Single"/>
    <x v="0"/>
    <x v="0"/>
    <s v="Post Graduate"/>
    <n v="4"/>
    <x v="0"/>
    <n v="13.001899999999999"/>
    <n v="77.571299999999994"/>
    <n v="560003"/>
    <s v="Yes"/>
    <s v="Positive"/>
  </r>
  <r>
    <n v="24"/>
    <s v="Female"/>
    <s v="Single"/>
    <x v="0"/>
    <x v="4"/>
    <s v="Post Graduate"/>
    <n v="3"/>
    <x v="1"/>
    <n v="13.102"/>
    <n v="77.586399999999998"/>
    <n v="560064"/>
    <s v="Yes"/>
    <s v="Positive"/>
  </r>
  <r>
    <n v="26"/>
    <s v="Male"/>
    <s v="Single"/>
    <x v="0"/>
    <x v="0"/>
    <s v="Post Graduate"/>
    <n v="4"/>
    <x v="0"/>
    <n v="12.9048"/>
    <n v="77.682100000000005"/>
    <n v="560036"/>
    <s v="Yes"/>
    <s v="Positive"/>
  </r>
  <r>
    <n v="22"/>
    <s v="Female"/>
    <s v="Single"/>
    <x v="0"/>
    <x v="0"/>
    <s v="Post Graduate"/>
    <n v="3"/>
    <x v="1"/>
    <n v="12.977"/>
    <n v="77.577299999999994"/>
    <n v="560009"/>
    <s v="Yes"/>
    <s v="Positive"/>
  </r>
  <r>
    <n v="24"/>
    <s v="Male"/>
    <s v="Single"/>
    <x v="0"/>
    <x v="0"/>
    <s v="Post Graduate"/>
    <n v="5"/>
    <x v="0"/>
    <n v="12.9337"/>
    <n v="77.59"/>
    <n v="560011"/>
    <s v="Yes"/>
    <s v="Positive"/>
  </r>
  <r>
    <n v="24"/>
    <s v="Male"/>
    <s v="Single"/>
    <x v="0"/>
    <x v="3"/>
    <s v="Post Graduate"/>
    <n v="4"/>
    <x v="0"/>
    <n v="12.903700000000001"/>
    <n v="77.537599999999998"/>
    <n v="560061"/>
    <s v="Yes"/>
    <s v="Positive"/>
  </r>
  <r>
    <n v="23"/>
    <s v="Female"/>
    <s v="Single"/>
    <x v="0"/>
    <x v="0"/>
    <s v="Post Graduate"/>
    <n v="3"/>
    <x v="1"/>
    <n v="12.977"/>
    <n v="77.577299999999994"/>
    <n v="560009"/>
    <s v="Yes"/>
    <s v="Positive"/>
  </r>
  <r>
    <n v="23"/>
    <s v="Male"/>
    <s v="Single"/>
    <x v="0"/>
    <x v="0"/>
    <s v="Post Graduate"/>
    <n v="3"/>
    <x v="1"/>
    <n v="12.9343"/>
    <n v="77.604399999999998"/>
    <n v="560029"/>
    <s v="Yes"/>
    <s v="Positive"/>
  </r>
  <r>
    <n v="22"/>
    <s v="Male"/>
    <s v="Single"/>
    <x v="0"/>
    <x v="0"/>
    <s v="Post Graduate"/>
    <n v="3"/>
    <x v="1"/>
    <n v="12.9438"/>
    <n v="77.573800000000006"/>
    <n v="560004"/>
    <s v="Yes"/>
    <s v="Positive"/>
  </r>
  <r>
    <n v="23"/>
    <s v="Male"/>
    <s v="Single"/>
    <x v="0"/>
    <x v="0"/>
    <s v="Post 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4"/>
    <x v="0"/>
    <n v="12.978300000000001"/>
    <n v="77.640799999999999"/>
    <n v="560038"/>
    <s v="Yes"/>
    <s v="Positive"/>
  </r>
  <r>
    <n v="25"/>
    <s v="Male"/>
    <s v="Single"/>
    <x v="0"/>
    <x v="0"/>
    <s v="Graduate"/>
    <n v="1"/>
    <x v="2"/>
    <n v="12.977"/>
    <n v="77.577299999999994"/>
    <n v="560009"/>
    <s v="Yes"/>
    <s v="Positive"/>
  </r>
  <r>
    <n v="28"/>
    <s v="Male"/>
    <s v="Married"/>
    <x v="2"/>
    <x v="3"/>
    <s v="Graduate"/>
    <n v="2"/>
    <x v="1"/>
    <n v="13.0289"/>
    <n v="77.540000000000006"/>
    <n v="560022"/>
    <s v="No"/>
    <s v="Negative "/>
  </r>
  <r>
    <n v="27"/>
    <s v="Female"/>
    <s v="Prefer not to say"/>
    <x v="1"/>
    <x v="4"/>
    <s v="Post Graduate"/>
    <n v="5"/>
    <x v="0"/>
    <n v="13.0289"/>
    <n v="77.540000000000006"/>
    <n v="560022"/>
    <s v="No"/>
    <s v="Positive"/>
  </r>
  <r>
    <n v="26"/>
    <s v="Male"/>
    <s v="Single"/>
    <x v="2"/>
    <x v="3"/>
    <s v="Ph.D"/>
    <n v="1"/>
    <x v="2"/>
    <n v="12.969799999999999"/>
    <n v="77.75"/>
    <n v="560066"/>
    <s v="No"/>
    <s v="Positive"/>
  </r>
  <r>
    <n v="22"/>
    <s v="Male"/>
    <s v="Single"/>
    <x v="0"/>
    <x v="0"/>
    <s v="Post Graduate"/>
    <n v="2"/>
    <x v="1"/>
    <n v="12.977"/>
    <n v="77.577299999999994"/>
    <n v="560009"/>
    <s v="Yes"/>
    <s v="Positive"/>
  </r>
  <r>
    <n v="23"/>
    <s v="Male"/>
    <s v="Single"/>
    <x v="0"/>
    <x v="0"/>
    <s v="Post Graduate"/>
    <n v="1"/>
    <x v="2"/>
    <n v="12.956099999999999"/>
    <n v="77.592100000000002"/>
    <n v="560027"/>
    <s v="Yes"/>
    <s v="Positive"/>
  </r>
  <r>
    <n v="26"/>
    <s v="Male"/>
    <s v="Married"/>
    <x v="1"/>
    <x v="4"/>
    <s v="Graduate"/>
    <n v="5"/>
    <x v="0"/>
    <n v="12.9579"/>
    <n v="77.630899999999997"/>
    <n v="560007"/>
    <s v="No"/>
    <s v="Positive"/>
  </r>
  <r>
    <n v="32"/>
    <s v="Female"/>
    <s v="Married"/>
    <x v="3"/>
    <x v="0"/>
    <s v="Uneducated"/>
    <n v="3"/>
    <x v="1"/>
    <n v="13.013999999999999"/>
    <n v="77.565799999999996"/>
    <n v="560012"/>
    <s v="No"/>
    <s v="Positive"/>
  </r>
  <r>
    <n v="23"/>
    <s v="Male"/>
    <s v="Single"/>
    <x v="0"/>
    <x v="0"/>
    <s v="Post Graduate"/>
    <n v="2"/>
    <x v="1"/>
    <n v="12.9442"/>
    <n v="77.607600000000005"/>
    <n v="560030"/>
    <s v="Yes"/>
    <s v="Positive"/>
  </r>
  <r>
    <n v="22"/>
    <s v="Female"/>
    <s v="Single"/>
    <x v="1"/>
    <x v="3"/>
    <s v="Graduate"/>
    <n v="3"/>
    <x v="1"/>
    <n v="12.969799999999999"/>
    <n v="77.75"/>
    <n v="560066"/>
    <s v="Yes"/>
    <s v="Positive"/>
  </r>
  <r>
    <n v="24"/>
    <s v="Female"/>
    <s v="Single"/>
    <x v="0"/>
    <x v="0"/>
    <s v="Ph.D"/>
    <n v="3"/>
    <x v="1"/>
    <n v="12.9438"/>
    <n v="77.573800000000006"/>
    <n v="560004"/>
    <s v="Yes"/>
    <s v="Positive"/>
  </r>
  <r>
    <n v="26"/>
    <s v="Male"/>
    <s v="Single"/>
    <x v="1"/>
    <x v="4"/>
    <s v="Graduate"/>
    <n v="2"/>
    <x v="1"/>
    <n v="12.9261"/>
    <n v="77.622100000000003"/>
    <n v="560034"/>
    <s v="Yes"/>
    <s v="Negative "/>
  </r>
  <r>
    <n v="28"/>
    <s v="Male"/>
    <s v="Married"/>
    <x v="1"/>
    <x v="2"/>
    <s v="Graduate"/>
    <n v="3"/>
    <x v="1"/>
    <n v="12.969799999999999"/>
    <n v="77.75"/>
    <n v="560066"/>
    <s v="No"/>
    <s v="Positive"/>
  </r>
  <r>
    <n v="26"/>
    <s v="Male"/>
    <s v="Single"/>
    <x v="1"/>
    <x v="2"/>
    <s v="Post Graduate"/>
    <n v="2"/>
    <x v="1"/>
    <n v="12.969799999999999"/>
    <n v="77.75"/>
    <n v="560066"/>
    <s v="No"/>
    <s v="Positive"/>
  </r>
  <r>
    <n v="25"/>
    <s v="Male"/>
    <s v="Single"/>
    <x v="0"/>
    <x v="0"/>
    <s v="Post Graduate"/>
    <n v="1"/>
    <x v="2"/>
    <n v="12.9343"/>
    <n v="77.604399999999998"/>
    <n v="560029"/>
    <s v="Yes"/>
    <s v="Positive"/>
  </r>
  <r>
    <n v="25"/>
    <s v="Male"/>
    <s v="Single"/>
    <x v="1"/>
    <x v="1"/>
    <s v="Graduate"/>
    <n v="2"/>
    <x v="1"/>
    <n v="12.969799999999999"/>
    <n v="77.75"/>
    <n v="560066"/>
    <s v="No"/>
    <s v="Positive"/>
  </r>
  <r>
    <n v="18"/>
    <s v="Male"/>
    <s v="Single"/>
    <x v="0"/>
    <x v="0"/>
    <s v="Graduate"/>
    <n v="5"/>
    <x v="0"/>
    <n v="12.9635"/>
    <n v="77.582099999999997"/>
    <n v="560002"/>
    <s v="Yes"/>
    <s v="Positive"/>
  </r>
  <r>
    <n v="21"/>
    <s v="Male"/>
    <s v="Single"/>
    <x v="0"/>
    <x v="0"/>
    <s v="Post Graduate"/>
    <n v="4"/>
    <x v="0"/>
    <n v="12.977"/>
    <n v="77.577299999999994"/>
    <n v="560009"/>
    <s v="Yes"/>
    <s v="Positive"/>
  </r>
  <r>
    <n v="25"/>
    <s v="Male"/>
    <s v="Single"/>
    <x v="0"/>
    <x v="1"/>
    <s v="Post Graduate"/>
    <n v="2"/>
    <x v="1"/>
    <n v="12.9925"/>
    <n v="77.563299999999998"/>
    <n v="560021"/>
    <s v="Yes"/>
    <s v="Positive"/>
  </r>
  <r>
    <n v="23"/>
    <s v="Male"/>
    <s v="Single"/>
    <x v="1"/>
    <x v="3"/>
    <s v="Post Graduate"/>
    <n v="2"/>
    <x v="1"/>
    <n v="12.984999999999999"/>
    <n v="77.553299999999993"/>
    <n v="560010"/>
    <s v="Yes"/>
    <s v="Positive"/>
  </r>
  <r>
    <n v="25"/>
    <s v="Female"/>
    <s v="Married"/>
    <x v="1"/>
    <x v="4"/>
    <s v="Graduate"/>
    <n v="4"/>
    <x v="0"/>
    <n v="12.9551"/>
    <n v="77.659300000000002"/>
    <n v="560017"/>
    <s v="No"/>
    <s v="Negative "/>
  </r>
  <r>
    <n v="31"/>
    <s v="Female"/>
    <s v="Married"/>
    <x v="3"/>
    <x v="0"/>
    <s v="School"/>
    <n v="5"/>
    <x v="0"/>
    <n v="13.0289"/>
    <n v="77.540000000000006"/>
    <n v="560022"/>
    <s v="Yes"/>
    <s v="Positive"/>
  </r>
  <r>
    <n v="24"/>
    <s v="Male"/>
    <s v="Prefer not to say"/>
    <x v="2"/>
    <x v="2"/>
    <s v="Ph.D"/>
    <n v="2"/>
    <x v="1"/>
    <n v="13.0138"/>
    <n v="77.587699999999998"/>
    <n v="560006"/>
    <s v="No"/>
    <s v="Positive"/>
  </r>
  <r>
    <n v="32"/>
    <s v="Female"/>
    <s v="Married"/>
    <x v="1"/>
    <x v="4"/>
    <s v="Graduate"/>
    <n v="5"/>
    <x v="0"/>
    <n v="12.9261"/>
    <n v="77.622100000000003"/>
    <n v="560034"/>
    <s v="Yes"/>
    <s v="Positive"/>
  </r>
  <r>
    <n v="25"/>
    <s v="Male"/>
    <s v="Single"/>
    <x v="1"/>
    <x v="4"/>
    <s v="Graduate"/>
    <n v="3"/>
    <x v="1"/>
    <n v="12.976599999999999"/>
    <n v="77.599299999999999"/>
    <n v="560001"/>
    <s v="Yes"/>
    <s v="Positive"/>
  </r>
  <r>
    <n v="27"/>
    <s v="Female"/>
    <s v="Married"/>
    <x v="2"/>
    <x v="2"/>
    <s v="Graduate"/>
    <n v="5"/>
    <x v="0"/>
    <n v="12.976599999999999"/>
    <n v="77.599299999999999"/>
    <n v="560001"/>
    <s v="No"/>
    <s v="Positive"/>
  </r>
  <r>
    <n v="26"/>
    <s v="Male"/>
    <s v="Single"/>
    <x v="2"/>
    <x v="4"/>
    <s v="Graduate"/>
    <n v="3"/>
    <x v="1"/>
    <n v="12.976599999999999"/>
    <n v="77.599299999999999"/>
    <n v="560001"/>
    <s v="Yes"/>
    <s v="Positive"/>
  </r>
  <r>
    <n v="26"/>
    <s v="Female"/>
    <s v="Single"/>
    <x v="2"/>
    <x v="4"/>
    <s v="Post Graduate"/>
    <n v="3"/>
    <x v="1"/>
    <n v="12.9635"/>
    <n v="77.582099999999997"/>
    <n v="560002"/>
    <s v="Yes"/>
    <s v="Positive"/>
  </r>
  <r>
    <n v="32"/>
    <s v="Male"/>
    <s v="Married"/>
    <x v="1"/>
    <x v="2"/>
    <s v="Ph.D"/>
    <n v="5"/>
    <x v="0"/>
    <n v="12.9635"/>
    <n v="77.582099999999997"/>
    <n v="560002"/>
    <s v="Yes"/>
    <s v="Negative "/>
  </r>
  <r>
    <n v="24"/>
    <s v="Male"/>
    <s v="Married"/>
    <x v="2"/>
    <x v="2"/>
    <s v="Ph.D"/>
    <n v="6"/>
    <x v="0"/>
    <n v="12.9635"/>
    <n v="77.582099999999997"/>
    <n v="560002"/>
    <s v="No"/>
    <s v="Negative "/>
  </r>
  <r>
    <n v="27"/>
    <s v="Female"/>
    <s v="Married"/>
    <x v="2"/>
    <x v="4"/>
    <s v="Graduate"/>
    <n v="3"/>
    <x v="1"/>
    <n v="12.9635"/>
    <n v="77.582099999999997"/>
    <n v="560002"/>
    <s v="Yes"/>
    <s v="Positive"/>
  </r>
  <r>
    <n v="25"/>
    <s v="Male"/>
    <s v="Single"/>
    <x v="0"/>
    <x v="0"/>
    <s v="Post Graduate"/>
    <n v="4"/>
    <x v="0"/>
    <n v="12.977"/>
    <n v="77.577299999999994"/>
    <n v="560009"/>
    <s v="Yes"/>
    <s v="Positive"/>
  </r>
  <r>
    <n v="28"/>
    <s v="Male"/>
    <s v="Married"/>
    <x v="1"/>
    <x v="2"/>
    <s v="Post Graduate"/>
    <n v="3"/>
    <x v="1"/>
    <n v="13.001899999999999"/>
    <n v="77.571299999999994"/>
    <n v="560003"/>
    <s v="Yes"/>
    <s v="Positive"/>
  </r>
  <r>
    <n v="32"/>
    <s v="Female"/>
    <s v="Married"/>
    <x v="1"/>
    <x v="2"/>
    <s v="Graduate"/>
    <n v="1"/>
    <x v="2"/>
    <n v="13.001899999999999"/>
    <n v="77.571299999999994"/>
    <n v="560003"/>
    <s v="No"/>
    <s v="Positive"/>
  </r>
  <r>
    <n v="23"/>
    <s v="Male"/>
    <s v="Single"/>
    <x v="0"/>
    <x v="0"/>
    <s v="Post Graduate"/>
    <n v="2"/>
    <x v="1"/>
    <n v="13.001899999999999"/>
    <n v="77.571299999999994"/>
    <n v="560003"/>
    <s v="Yes"/>
    <s v="Positive"/>
  </r>
  <r>
    <n v="19"/>
    <s v="Male"/>
    <s v="Single"/>
    <x v="0"/>
    <x v="0"/>
    <s v="Graduate"/>
    <n v="2"/>
    <x v="1"/>
    <n v="13.001899999999999"/>
    <n v="77.571299999999994"/>
    <n v="560003"/>
    <s v="No"/>
    <s v="Negative "/>
  </r>
  <r>
    <n v="19"/>
    <s v="Female"/>
    <s v="Single"/>
    <x v="0"/>
    <x v="0"/>
    <s v="Graduate"/>
    <n v="4"/>
    <x v="0"/>
    <n v="12.9537"/>
    <n v="77.617599999999996"/>
    <n v="560047"/>
    <s v="Yes"/>
    <s v="Positive"/>
  </r>
  <r>
    <n v="27"/>
    <s v="Female"/>
    <s v="Married"/>
    <x v="1"/>
    <x v="4"/>
    <s v="Post Graduate"/>
    <n v="2"/>
    <x v="1"/>
    <n v="12.969799999999999"/>
    <n v="77.75"/>
    <n v="560066"/>
    <s v="No"/>
    <s v="Positive"/>
  </r>
  <r>
    <n v="25"/>
    <s v="Male"/>
    <s v="Single"/>
    <x v="2"/>
    <x v="4"/>
    <s v="Graduate"/>
    <n v="3"/>
    <x v="1"/>
    <n v="12.997999999999999"/>
    <n v="77.622699999999995"/>
    <n v="560005"/>
    <s v="Yes"/>
    <s v="Positive"/>
  </r>
  <r>
    <n v="33"/>
    <s v="Male"/>
    <s v="Married"/>
    <x v="1"/>
    <x v="2"/>
    <s v="Ph.D"/>
    <n v="5"/>
    <x v="0"/>
    <n v="12.997999999999999"/>
    <n v="77.622699999999995"/>
    <n v="560005"/>
    <s v="No"/>
    <s v="Negative "/>
  </r>
  <r>
    <n v="26"/>
    <s v="Female"/>
    <s v="Single"/>
    <x v="1"/>
    <x v="2"/>
    <s v="Graduate"/>
    <n v="3"/>
    <x v="1"/>
    <n v="12.997999999999999"/>
    <n v="77.622699999999995"/>
    <n v="560005"/>
    <s v="Yes"/>
    <s v="Positive"/>
  </r>
  <r>
    <n v="22"/>
    <s v="Female"/>
    <s v="Single"/>
    <x v="0"/>
    <x v="1"/>
    <s v="Post Graduate"/>
    <n v="4"/>
    <x v="0"/>
    <n v="12.9343"/>
    <n v="77.604399999999998"/>
    <n v="560029"/>
    <s v="Yes"/>
    <s v="Positive"/>
  </r>
  <r>
    <n v="23"/>
    <s v="Male"/>
    <s v="Single"/>
    <x v="0"/>
    <x v="0"/>
    <s v="Post Graduate"/>
    <n v="3"/>
    <x v="1"/>
    <n v="13.102"/>
    <n v="77.586399999999998"/>
    <n v="560064"/>
    <s v="No"/>
    <s v="Positive"/>
  </r>
  <r>
    <n v="22"/>
    <s v="Female"/>
    <s v="Single"/>
    <x v="0"/>
    <x v="0"/>
    <s v="Graduate"/>
    <n v="3"/>
    <x v="1"/>
    <n v="13.0158"/>
    <n v="77.539000000000001"/>
    <n v="560096"/>
    <s v="Yes"/>
    <s v="Negative "/>
  </r>
  <r>
    <n v="25"/>
    <s v="Male"/>
    <s v="Married"/>
    <x v="1"/>
    <x v="4"/>
    <s v="Graduate"/>
    <n v="2"/>
    <x v="1"/>
    <n v="12.997999999999999"/>
    <n v="77.622699999999995"/>
    <n v="560005"/>
    <s v="Yes"/>
    <s v="Positive"/>
  </r>
  <r>
    <n v="30"/>
    <s v="Female"/>
    <s v="Married"/>
    <x v="3"/>
    <x v="0"/>
    <s v="School"/>
    <n v="5"/>
    <x v="0"/>
    <n v="12.997999999999999"/>
    <n v="77.622699999999995"/>
    <n v="560005"/>
    <s v="Yes"/>
    <s v="Positive"/>
  </r>
  <r>
    <n v="24"/>
    <s v="Male"/>
    <s v="Single"/>
    <x v="0"/>
    <x v="0"/>
    <s v="Post Graduate"/>
    <n v="3"/>
    <x v="1"/>
    <n v="13.0138"/>
    <n v="77.587699999999998"/>
    <n v="560006"/>
    <s v="No"/>
    <s v="Negative "/>
  </r>
  <r>
    <n v="25"/>
    <s v="Male"/>
    <s v="Single"/>
    <x v="1"/>
    <x v="3"/>
    <s v="Post Graduate"/>
    <n v="3"/>
    <x v="1"/>
    <n v="13.0138"/>
    <n v="77.587699999999998"/>
    <n v="560006"/>
    <s v="Yes"/>
    <s v="Positive"/>
  </r>
  <r>
    <n v="23"/>
    <s v="Male"/>
    <s v="Single"/>
    <x v="0"/>
    <x v="2"/>
    <s v="Post 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4"/>
    <x v="0"/>
    <n v="13.0496"/>
    <n v="77.494100000000003"/>
    <n v="560073"/>
    <s v="Yes"/>
    <s v="Positive"/>
  </r>
  <r>
    <n v="32"/>
    <s v="Male"/>
    <s v="Married"/>
    <x v="1"/>
    <x v="3"/>
    <s v="Graduate"/>
    <n v="4"/>
    <x v="0"/>
    <n v="12.978300000000001"/>
    <n v="77.640799999999999"/>
    <n v="560038"/>
    <s v="Yes"/>
    <s v="Positive"/>
  </r>
  <r>
    <n v="22"/>
    <s v="Male"/>
    <s v="Single"/>
    <x v="0"/>
    <x v="0"/>
    <s v="Post Graduate"/>
    <n v="4"/>
    <x v="0"/>
    <n v="12.988899999999999"/>
    <n v="77.574100000000001"/>
    <n v="560020"/>
    <s v="Yes"/>
    <s v="Positive"/>
  </r>
  <r>
    <n v="20"/>
    <s v="Male"/>
    <s v="Single"/>
    <x v="0"/>
    <x v="0"/>
    <s v="Graduate"/>
    <n v="2"/>
    <x v="1"/>
    <n v="12.9579"/>
    <n v="77.630899999999997"/>
    <n v="560007"/>
    <s v="Yes"/>
    <s v="Positive"/>
  </r>
  <r>
    <n v="21"/>
    <s v="Male"/>
    <s v="Single"/>
    <x v="0"/>
    <x v="0"/>
    <s v="Graduate"/>
    <n v="2"/>
    <x v="1"/>
    <n v="12.9579"/>
    <n v="77.630899999999997"/>
    <n v="560007"/>
    <s v="Yes"/>
    <s v="Positive"/>
  </r>
  <r>
    <n v="24"/>
    <s v="Female"/>
    <s v="Married"/>
    <x v="2"/>
    <x v="3"/>
    <s v="Graduate"/>
    <n v="5"/>
    <x v="0"/>
    <n v="12.9579"/>
    <n v="77.630899999999997"/>
    <n v="560007"/>
    <s v="Yes"/>
    <s v="Positive"/>
  </r>
  <r>
    <n v="25"/>
    <s v="Male"/>
    <s v="Single"/>
    <x v="1"/>
    <x v="4"/>
    <s v="Post Graduate"/>
    <n v="3"/>
    <x v="1"/>
    <n v="12.984999999999999"/>
    <n v="77.553299999999993"/>
    <n v="560010"/>
    <s v="Yes"/>
    <s v="Positive"/>
  </r>
  <r>
    <n v="32"/>
    <s v="Female"/>
    <s v="Married"/>
    <x v="3"/>
    <x v="0"/>
    <s v="Graduate"/>
    <n v="3"/>
    <x v="1"/>
    <n v="12.984999999999999"/>
    <n v="77.553299999999993"/>
    <n v="560010"/>
    <s v="Yes"/>
    <s v="Positive"/>
  </r>
  <r>
    <n v="27"/>
    <s v="Male"/>
    <s v="Married"/>
    <x v="1"/>
    <x v="2"/>
    <s v="Ph.D"/>
    <n v="5"/>
    <x v="0"/>
    <n v="12.984999999999999"/>
    <n v="77.553299999999993"/>
    <n v="560010"/>
    <s v="No"/>
    <s v="Negative "/>
  </r>
  <r>
    <n v="20"/>
    <s v="Female"/>
    <s v="Single"/>
    <x v="0"/>
    <x v="0"/>
    <s v="Graduate"/>
    <n v="2"/>
    <x v="1"/>
    <n v="12.9337"/>
    <n v="77.59"/>
    <n v="560011"/>
    <s v="Yes"/>
    <s v="Positive"/>
  </r>
  <r>
    <n v="21"/>
    <s v="Male"/>
    <s v="Single"/>
    <x v="0"/>
    <x v="0"/>
    <s v="Graduate"/>
    <n v="2"/>
    <x v="1"/>
    <n v="12.9337"/>
    <n v="77.59"/>
    <n v="560011"/>
    <s v="Yes"/>
    <s v="Positive"/>
  </r>
  <r>
    <n v="26"/>
    <s v="Male"/>
    <s v="Single"/>
    <x v="1"/>
    <x v="2"/>
    <s v="Post Graduate"/>
    <n v="3"/>
    <x v="1"/>
    <n v="12.9337"/>
    <n v="77.59"/>
    <n v="560011"/>
    <s v="No"/>
    <s v="Negative "/>
  </r>
  <r>
    <n v="25"/>
    <s v="Male"/>
    <s v="Single"/>
    <x v="1"/>
    <x v="3"/>
    <s v="Graduate"/>
    <n v="4"/>
    <x v="0"/>
    <n v="13.0166"/>
    <n v="77.680400000000006"/>
    <n v="560016"/>
    <s v="Yes"/>
    <s v="Positive"/>
  </r>
  <r>
    <n v="26"/>
    <s v="Male"/>
    <s v="Single"/>
    <x v="1"/>
    <x v="4"/>
    <s v="Post Graduate"/>
    <n v="3"/>
    <x v="1"/>
    <n v="13.013999999999999"/>
    <n v="77.565799999999996"/>
    <n v="560012"/>
    <s v="Yes"/>
    <s v="Positive"/>
  </r>
  <r>
    <n v="26"/>
    <s v="Female"/>
    <s v="Married"/>
    <x v="1"/>
    <x v="4"/>
    <s v="Graduate"/>
    <n v="3"/>
    <x v="1"/>
    <n v="13.013999999999999"/>
    <n v="77.565799999999996"/>
    <n v="560012"/>
    <s v="Yes"/>
    <s v="Positive"/>
  </r>
  <r>
    <n v="27"/>
    <s v="Male"/>
    <s v="Single"/>
    <x v="1"/>
    <x v="2"/>
    <s v="Ph.D"/>
    <n v="4"/>
    <x v="0"/>
    <n v="13.0503"/>
    <n v="77.552899999999994"/>
    <n v="560013"/>
    <s v="No"/>
    <s v="Positive"/>
  </r>
  <r>
    <n v="27"/>
    <s v="Female"/>
    <s v="Single"/>
    <x v="0"/>
    <x v="0"/>
    <s v="Ph.D"/>
    <n v="5"/>
    <x v="0"/>
    <n v="13.0503"/>
    <n v="77.552899999999994"/>
    <n v="560013"/>
    <s v="No"/>
    <s v="Negative "/>
  </r>
  <r>
    <n v="24"/>
    <s v="Female"/>
    <s v="Single"/>
    <x v="0"/>
    <x v="0"/>
    <s v="Post Graduate"/>
    <n v="5"/>
    <x v="0"/>
    <n v="12.988300000000001"/>
    <n v="77.598699999999994"/>
    <n v="560051"/>
    <s v="Yes"/>
    <s v="Positive"/>
  </r>
  <r>
    <n v="25"/>
    <s v="Male"/>
    <s v="Married"/>
    <x v="2"/>
    <x v="2"/>
    <s v="School"/>
    <n v="2"/>
    <x v="1"/>
    <n v="13.0626"/>
    <n v="77.528400000000005"/>
    <n v="560015"/>
    <s v="Yes"/>
    <s v="Positive"/>
  </r>
  <r>
    <n v="20"/>
    <s v="Male"/>
    <s v="Single"/>
    <x v="0"/>
    <x v="0"/>
    <s v="Graduate"/>
    <n v="2"/>
    <x v="1"/>
    <n v="13.0626"/>
    <n v="77.528400000000005"/>
    <n v="560015"/>
    <s v="No"/>
    <s v="Negative "/>
  </r>
  <r>
    <n v="22"/>
    <s v="Male"/>
    <s v="Single"/>
    <x v="0"/>
    <x v="0"/>
    <s v="Post Graduate"/>
    <n v="1"/>
    <x v="2"/>
    <n v="13.0626"/>
    <n v="77.528400000000005"/>
    <n v="560015"/>
    <s v="Yes"/>
    <s v="Positive"/>
  </r>
  <r>
    <n v="26"/>
    <s v="Female"/>
    <s v="Married"/>
    <x v="0"/>
    <x v="1"/>
    <s v="Ph.D"/>
    <n v="3"/>
    <x v="1"/>
    <n v="13.0166"/>
    <n v="77.680400000000006"/>
    <n v="560016"/>
    <s v="Yes"/>
    <s v="Positive"/>
  </r>
  <r>
    <n v="27"/>
    <s v="Male"/>
    <s v="Prefer not to say"/>
    <x v="1"/>
    <x v="4"/>
    <s v="Post Graduate"/>
    <n v="1"/>
    <x v="2"/>
    <n v="13.0166"/>
    <n v="77.680400000000006"/>
    <n v="560016"/>
    <s v="Yes"/>
    <s v="Positive"/>
  </r>
  <r>
    <n v="25"/>
    <s v="Female"/>
    <s v="Single"/>
    <x v="0"/>
    <x v="0"/>
    <s v="Post Graduate"/>
    <n v="3"/>
    <x v="1"/>
    <n v="12.9551"/>
    <n v="77.659300000000002"/>
    <n v="560017"/>
    <s v="Yes"/>
    <s v="Positive"/>
  </r>
  <r>
    <n v="24"/>
    <s v="Male"/>
    <s v="Single"/>
    <x v="1"/>
    <x v="1"/>
    <s v="Graduate"/>
    <n v="2"/>
    <x v="1"/>
    <n v="12.9551"/>
    <n v="77.659300000000002"/>
    <n v="560017"/>
    <s v="Yes"/>
    <s v="Positive"/>
  </r>
  <r>
    <n v="23"/>
    <s v="Female"/>
    <s v="Single"/>
    <x v="1"/>
    <x v="3"/>
    <s v="Graduate"/>
    <n v="6"/>
    <x v="0"/>
    <n v="12.9551"/>
    <n v="77.659300000000002"/>
    <n v="560017"/>
    <s v="Yes"/>
    <s v="Positive"/>
  </r>
  <r>
    <n v="22"/>
    <s v="Male"/>
    <s v="Single"/>
    <x v="0"/>
    <x v="0"/>
    <s v="Graduate"/>
    <n v="2"/>
    <x v="1"/>
    <n v="12.957000000000001"/>
    <n v="77.563699999999997"/>
    <n v="560018"/>
    <s v="No"/>
    <s v="Positive"/>
  </r>
  <r>
    <n v="26"/>
    <s v="Male"/>
    <s v="Married"/>
    <x v="2"/>
    <x v="2"/>
    <s v="Post Graduate"/>
    <n v="3"/>
    <x v="1"/>
    <n v="12.957000000000001"/>
    <n v="77.563699999999997"/>
    <n v="560018"/>
    <s v="No"/>
    <s v="Negative "/>
  </r>
  <r>
    <n v="26"/>
    <s v="Male"/>
    <s v="Single"/>
    <x v="1"/>
    <x v="1"/>
    <s v="Post Graduate"/>
    <n v="1"/>
    <x v="2"/>
    <n v="12.957000000000001"/>
    <n v="77.563699999999997"/>
    <n v="560018"/>
    <s v="Yes"/>
    <s v="Negative "/>
  </r>
  <r>
    <n v="25"/>
    <s v="Female"/>
    <s v="Married"/>
    <x v="2"/>
    <x v="4"/>
    <s v="Post Graduate"/>
    <n v="3"/>
    <x v="1"/>
    <n v="12.957000000000001"/>
    <n v="77.563699999999997"/>
    <n v="560018"/>
    <s v="No"/>
    <s v="Positive"/>
  </r>
  <r>
    <n v="29"/>
    <s v="Female"/>
    <s v="Married"/>
    <x v="1"/>
    <x v="2"/>
    <s v="Graduate"/>
    <n v="3"/>
    <x v="1"/>
    <n v="12.957000000000001"/>
    <n v="77.563699999999997"/>
    <n v="560018"/>
    <s v="No"/>
    <s v="Positive"/>
  </r>
  <r>
    <n v="23"/>
    <s v="Male"/>
    <s v="Single"/>
    <x v="0"/>
    <x v="1"/>
    <s v="Graduate"/>
    <n v="3"/>
    <x v="1"/>
    <n v="12.8652"/>
    <n v="77.524000000000001"/>
    <n v="560109"/>
    <s v="Yes"/>
    <s v="Negative "/>
  </r>
  <r>
    <n v="22"/>
    <s v="Female"/>
    <s v="Single"/>
    <x v="1"/>
    <x v="4"/>
    <s v="Graduate"/>
    <n v="4"/>
    <x v="0"/>
    <n v="12.969799999999999"/>
    <n v="77.75"/>
    <n v="560066"/>
    <s v="Yes"/>
    <s v="Positive"/>
  </r>
  <r>
    <n v="22"/>
    <s v="Male"/>
    <s v="Single"/>
    <x v="0"/>
    <x v="0"/>
    <s v="Graduate"/>
    <n v="2"/>
    <x v="1"/>
    <n v="12.988899999999999"/>
    <n v="77.574100000000001"/>
    <n v="560020"/>
    <s v="No"/>
    <s v="Positive"/>
  </r>
  <r>
    <n v="32"/>
    <s v="Female"/>
    <s v="Married"/>
    <x v="3"/>
    <x v="0"/>
    <s v="School"/>
    <n v="5"/>
    <x v="0"/>
    <n v="12.988899999999999"/>
    <n v="77.574100000000001"/>
    <n v="560020"/>
    <s v="Yes"/>
    <s v="Positive"/>
  </r>
  <r>
    <n v="28"/>
    <s v="Male"/>
    <s v="Married"/>
    <x v="1"/>
    <x v="2"/>
    <s v="Post Graduate"/>
    <n v="1"/>
    <x v="2"/>
    <n v="12.9925"/>
    <n v="77.563299999999998"/>
    <n v="560021"/>
    <s v="Yes"/>
    <s v="Positive"/>
  </r>
  <r>
    <n v="25"/>
    <s v="Male"/>
    <s v="Single"/>
    <x v="1"/>
    <x v="3"/>
    <s v="Graduate"/>
    <n v="2"/>
    <x v="1"/>
    <n v="12.9757"/>
    <n v="77.558599999999998"/>
    <n v="560023"/>
    <s v="Yes"/>
    <s v="Positive"/>
  </r>
  <r>
    <n v="26"/>
    <s v="Female"/>
    <s v="Married"/>
    <x v="1"/>
    <x v="4"/>
    <s v="Post Graduate"/>
    <n v="2"/>
    <x v="1"/>
    <n v="12.9757"/>
    <n v="77.558599999999998"/>
    <n v="560023"/>
    <s v="No"/>
    <s v="Negative "/>
  </r>
  <r>
    <n v="31"/>
    <s v="Male"/>
    <s v="Married"/>
    <x v="2"/>
    <x v="2"/>
    <s v="School"/>
    <n v="6"/>
    <x v="0"/>
    <n v="13.0487"/>
    <n v="77.592299999999994"/>
    <n v="560024"/>
    <s v="Yes"/>
    <s v="Positive"/>
  </r>
  <r>
    <n v="24"/>
    <s v="Male"/>
    <s v="Single"/>
    <x v="0"/>
    <x v="0"/>
    <s v="Post Graduate"/>
    <n v="3"/>
    <x v="1"/>
    <n v="13.0487"/>
    <n v="77.592299999999994"/>
    <n v="560024"/>
    <s v="No"/>
    <s v="Negative "/>
  </r>
  <r>
    <n v="24"/>
    <s v="Male"/>
    <s v="Single"/>
    <x v="1"/>
    <x v="4"/>
    <s v="Post Graduate"/>
    <n v="2"/>
    <x v="1"/>
    <n v="12.966200000000001"/>
    <n v="77.606800000000007"/>
    <n v="560025"/>
    <s v="Yes"/>
    <s v="Positive"/>
  </r>
  <r>
    <n v="31"/>
    <s v="Female"/>
    <s v="Married"/>
    <x v="1"/>
    <x v="2"/>
    <s v="Ph.D"/>
    <n v="5"/>
    <x v="0"/>
    <n v="12.966200000000001"/>
    <n v="77.606800000000007"/>
    <n v="560025"/>
    <s v="Yes"/>
    <s v="Positive"/>
  </r>
  <r>
    <n v="26"/>
    <s v="Male"/>
    <s v="Single"/>
    <x v="1"/>
    <x v="4"/>
    <s v="Graduate"/>
    <n v="2"/>
    <x v="1"/>
    <n v="12.9343"/>
    <n v="77.604399999999998"/>
    <n v="560029"/>
    <s v="Yes"/>
    <s v="Positive"/>
  </r>
  <r>
    <n v="24"/>
    <s v="Female"/>
    <s v="Married"/>
    <x v="2"/>
    <x v="2"/>
    <s v="Graduate"/>
    <n v="2"/>
    <x v="1"/>
    <n v="12.9343"/>
    <n v="77.604399999999998"/>
    <n v="560029"/>
    <s v="Yes"/>
    <s v="Positive"/>
  </r>
  <r>
    <n v="22"/>
    <s v="Female"/>
    <s v="Single"/>
    <x v="0"/>
    <x v="0"/>
    <s v="Graduate"/>
    <n v="3"/>
    <x v="1"/>
    <n v="12.9343"/>
    <n v="77.604399999999998"/>
    <n v="560029"/>
    <s v="Yes"/>
    <s v="Positive"/>
  </r>
  <r>
    <n v="19"/>
    <s v="Male"/>
    <s v="Single"/>
    <x v="0"/>
    <x v="0"/>
    <s v="Graduate"/>
    <n v="6"/>
    <x v="0"/>
    <n v="12.9442"/>
    <n v="77.607600000000005"/>
    <n v="560030"/>
    <s v="Yes"/>
    <s v="Positive"/>
  </r>
  <r>
    <n v="25"/>
    <s v="Male"/>
    <s v="Married"/>
    <x v="1"/>
    <x v="2"/>
    <s v="Post Graduate"/>
    <n v="6"/>
    <x v="0"/>
    <n v="12.9442"/>
    <n v="77.607600000000005"/>
    <n v="560030"/>
    <s v="Yes"/>
    <s v="Positive"/>
  </r>
  <r>
    <n v="23"/>
    <s v="Female"/>
    <s v="Married"/>
    <x v="3"/>
    <x v="0"/>
    <s v="School"/>
    <n v="6"/>
    <x v="0"/>
    <n v="12.9442"/>
    <n v="77.607600000000005"/>
    <n v="560030"/>
    <s v="Yes"/>
    <s v="Positive"/>
  </r>
  <r>
    <n v="23"/>
    <s v="Female"/>
    <s v="Single"/>
    <x v="0"/>
    <x v="0"/>
    <s v="Graduate"/>
    <n v="2"/>
    <x v="1"/>
    <n v="13.0298"/>
    <n v="77.604699999999994"/>
    <n v="560032"/>
    <s v="No"/>
    <s v="Negative "/>
  </r>
  <r>
    <n v="23"/>
    <s v="Male"/>
    <s v="Single"/>
    <x v="0"/>
    <x v="0"/>
    <s v="Post Graduate"/>
    <n v="2"/>
    <x v="1"/>
    <n v="12.9261"/>
    <n v="77.622100000000003"/>
    <n v="560034"/>
    <s v="Yes"/>
    <s v="Positive"/>
  </r>
  <r>
    <n v="24"/>
    <s v="Male"/>
    <s v="Single"/>
    <x v="0"/>
    <x v="0"/>
    <s v="Post Graduate"/>
    <n v="5"/>
    <x v="0"/>
    <n v="12.9621"/>
    <n v="77.537599999999998"/>
    <n v="560104"/>
    <s v="Yes"/>
    <s v="Positive"/>
  </r>
  <r>
    <n v="22"/>
    <s v="Female"/>
    <s v="Single"/>
    <x v="1"/>
    <x v="4"/>
    <s v="Graduate"/>
    <n v="4"/>
    <x v="0"/>
    <n v="12.884499999999999"/>
    <n v="77.6036"/>
    <n v="560076"/>
    <s v="Yes"/>
    <s v="Positive"/>
  </r>
  <r>
    <n v="26"/>
    <s v="Male"/>
    <s v="Married"/>
    <x v="1"/>
    <x v="2"/>
    <s v="Graduate"/>
    <n v="4"/>
    <x v="0"/>
    <n v="12.9048"/>
    <n v="77.682100000000005"/>
    <n v="560036"/>
    <s v="Yes"/>
    <s v="Positive"/>
  </r>
  <r>
    <n v="25"/>
    <s v="Female"/>
    <s v="Single"/>
    <x v="0"/>
    <x v="0"/>
    <s v="Ph.D"/>
    <n v="3"/>
    <x v="1"/>
    <n v="12.9048"/>
    <n v="77.682100000000005"/>
    <n v="560036"/>
    <s v="Yes"/>
    <s v="Positive"/>
  </r>
  <r>
    <n v="20"/>
    <s v="Male"/>
    <s v="Single"/>
    <x v="0"/>
    <x v="0"/>
    <s v="Graduate"/>
    <n v="2"/>
    <x v="1"/>
    <n v="12.9261"/>
    <n v="77.622100000000003"/>
    <n v="560034"/>
    <s v="Yes"/>
    <s v="Positive"/>
  </r>
  <r>
    <n v="29"/>
    <s v="Male"/>
    <s v="Married"/>
    <x v="1"/>
    <x v="4"/>
    <s v="Graduate"/>
    <n v="4"/>
    <x v="0"/>
    <n v="12.9261"/>
    <n v="77.622100000000003"/>
    <n v="560034"/>
    <s v="No"/>
    <s v="Negative "/>
  </r>
  <r>
    <n v="23"/>
    <s v="Female"/>
    <s v="Single"/>
    <x v="0"/>
    <x v="0"/>
    <s v="Graduate"/>
    <n v="1"/>
    <x v="2"/>
    <n v="12.977"/>
    <n v="77.577299999999994"/>
    <n v="560009"/>
    <s v="Yes"/>
    <s v="Positive"/>
  </r>
  <r>
    <n v="25"/>
    <s v="Male"/>
    <s v="Single"/>
    <x v="2"/>
    <x v="2"/>
    <s v="Graduate"/>
    <n v="2"/>
    <x v="1"/>
    <n v="12.978300000000001"/>
    <n v="77.640799999999999"/>
    <n v="560038"/>
    <s v="Yes"/>
    <s v="Positive"/>
  </r>
  <r>
    <n v="29"/>
    <s v="Female"/>
    <s v="Married"/>
    <x v="1"/>
    <x v="4"/>
    <s v="Graduate"/>
    <n v="4"/>
    <x v="0"/>
    <n v="12.978300000000001"/>
    <n v="77.640799999999999"/>
    <n v="560038"/>
    <s v="No"/>
    <s v="Negative "/>
  </r>
  <r>
    <n v="27"/>
    <s v="Male"/>
    <s v="Married"/>
    <x v="2"/>
    <x v="4"/>
    <s v="Graduate"/>
    <n v="6"/>
    <x v="0"/>
    <n v="12.9217"/>
    <n v="77.593599999999995"/>
    <n v="560041"/>
    <s v="No"/>
    <s v="Negative "/>
  </r>
  <r>
    <n v="25"/>
    <s v="Male"/>
    <s v="Single"/>
    <x v="2"/>
    <x v="3"/>
    <s v="Graduate"/>
    <n v="3"/>
    <x v="1"/>
    <n v="13.0206"/>
    <n v="77.647900000000007"/>
    <n v="560043"/>
    <s v="Yes"/>
    <s v="Positive"/>
  </r>
  <r>
    <n v="21"/>
    <s v="Male"/>
    <s v="Single"/>
    <x v="0"/>
    <x v="0"/>
    <s v="Graduate"/>
    <n v="2"/>
    <x v="1"/>
    <n v="13.001200000000001"/>
    <n v="77.599500000000006"/>
    <n v="560046"/>
    <s v="No"/>
    <s v="Negative "/>
  </r>
  <r>
    <n v="23"/>
    <s v="Male"/>
    <s v="Single"/>
    <x v="0"/>
    <x v="0"/>
    <s v="Graduate"/>
    <n v="3"/>
    <x v="1"/>
    <n v="13.0223"/>
    <n v="77.713200000000001"/>
    <n v="560049"/>
    <s v="Yes"/>
    <s v="Positive"/>
  </r>
  <r>
    <n v="24"/>
    <s v="Female"/>
    <s v="Single"/>
    <x v="1"/>
    <x v="3"/>
    <s v="Post Graduate"/>
    <n v="4"/>
    <x v="0"/>
    <n v="12.9337"/>
    <n v="77.59"/>
    <n v="560011"/>
    <s v="Yes"/>
    <s v="Positive"/>
  </r>
  <r>
    <n v="32"/>
    <s v="Male"/>
    <s v="Married"/>
    <x v="2"/>
    <x v="3"/>
    <s v="School"/>
    <n v="3"/>
    <x v="1"/>
    <n v="12.981999999999999"/>
    <n v="77.625600000000006"/>
    <n v="560008"/>
    <s v="Yes"/>
    <s v="Negative "/>
  </r>
  <r>
    <n v="28"/>
    <s v="Male"/>
    <s v="Married"/>
    <x v="1"/>
    <x v="4"/>
    <s v="Post Graduate"/>
    <n v="5"/>
    <x v="0"/>
    <n v="13.026199999999999"/>
    <n v="77.62"/>
    <n v="560045"/>
    <s v="Yes"/>
    <s v="Positive"/>
  </r>
  <r>
    <n v="26"/>
    <s v="Male"/>
    <s v="Single"/>
    <x v="1"/>
    <x v="3"/>
    <s v="Graduate"/>
    <n v="2"/>
    <x v="1"/>
    <n v="12.9217"/>
    <n v="77.593599999999995"/>
    <n v="560041"/>
    <s v="No"/>
    <s v="Negative "/>
  </r>
  <r>
    <n v="31"/>
    <s v="Female"/>
    <s v="Married"/>
    <x v="3"/>
    <x v="0"/>
    <s v="Graduate"/>
    <n v="5"/>
    <x v="0"/>
    <n v="13.0078"/>
    <n v="77.557699999999997"/>
    <n v="560055"/>
    <s v="Yes"/>
    <s v="Positive"/>
  </r>
  <r>
    <n v="27"/>
    <s v="Female"/>
    <s v="Married"/>
    <x v="2"/>
    <x v="4"/>
    <s v="Graduate"/>
    <n v="3"/>
    <x v="1"/>
    <n v="13.0078"/>
    <n v="77.557699999999997"/>
    <n v="560055"/>
    <s v="Yes"/>
    <s v="Positive"/>
  </r>
  <r>
    <n v="21"/>
    <s v="Female"/>
    <s v="Single"/>
    <x v="0"/>
    <x v="0"/>
    <s v="Post Graduate"/>
    <n v="1"/>
    <x v="2"/>
    <n v="12.9217"/>
    <n v="77.593599999999995"/>
    <n v="560041"/>
    <s v="Yes"/>
    <s v="Positive"/>
  </r>
  <r>
    <n v="23"/>
    <s v="Female"/>
    <s v="Single"/>
    <x v="0"/>
    <x v="0"/>
    <s v="Graduate"/>
    <n v="2"/>
    <x v="1"/>
    <n v="12.910500000000001"/>
    <n v="77.484200000000001"/>
    <n v="560060"/>
    <s v="No"/>
    <s v="Positive"/>
  </r>
  <r>
    <n v="26"/>
    <s v="Male"/>
    <s v="Married"/>
    <x v="1"/>
    <x v="3"/>
    <s v="Graduate"/>
    <n v="4"/>
    <x v="0"/>
    <n v="12.910500000000001"/>
    <n v="77.484200000000001"/>
    <n v="560060"/>
    <s v="No"/>
    <s v="Positive"/>
  </r>
  <r>
    <n v="32"/>
    <s v="Male"/>
    <s v="Married"/>
    <x v="1"/>
    <x v="2"/>
    <s v="Graduate"/>
    <n v="5"/>
    <x v="0"/>
    <n v="12.903700000000001"/>
    <n v="77.537599999999998"/>
    <n v="560061"/>
    <s v="Yes"/>
    <s v="Positive"/>
  </r>
  <r>
    <n v="25"/>
    <s v="Female"/>
    <s v="Married"/>
    <x v="0"/>
    <x v="0"/>
    <s v="Post Graduate"/>
    <n v="2"/>
    <x v="1"/>
    <n v="12.8834"/>
    <n v="77.548599999999993"/>
    <n v="560062"/>
    <s v="Yes"/>
    <s v="Positive"/>
  </r>
  <r>
    <n v="28"/>
    <s v="Male"/>
    <s v="Single"/>
    <x v="2"/>
    <x v="3"/>
    <s v="Post Graduate"/>
    <n v="2"/>
    <x v="1"/>
    <n v="12.914899999999999"/>
    <n v="77.563500000000005"/>
    <n v="560070"/>
    <s v="Yes"/>
    <s v="Positive"/>
  </r>
  <r>
    <n v="21"/>
    <s v="Female"/>
    <s v="Single"/>
    <x v="0"/>
    <x v="0"/>
    <s v="Post Graduate"/>
    <n v="3"/>
    <x v="1"/>
    <n v="12.914899999999999"/>
    <n v="77.563500000000005"/>
    <n v="560070"/>
    <s v="Yes"/>
    <s v="Positive"/>
  </r>
  <r>
    <n v="24"/>
    <s v="Male"/>
    <s v="Single"/>
    <x v="0"/>
    <x v="0"/>
    <s v="Post Graduate"/>
    <n v="2"/>
    <x v="1"/>
    <n v="12.970599999999999"/>
    <n v="77.652900000000002"/>
    <n v="560075"/>
    <s v="Yes"/>
    <s v="Positive"/>
  </r>
  <r>
    <n v="26"/>
    <s v="Female"/>
    <s v="Married"/>
    <x v="2"/>
    <x v="3"/>
    <s v="Graduate"/>
    <n v="5"/>
    <x v="0"/>
    <n v="12.970599999999999"/>
    <n v="77.652900000000002"/>
    <n v="560075"/>
    <s v="No"/>
    <s v="Negative "/>
  </r>
  <r>
    <n v="32"/>
    <s v="Male"/>
    <s v="Married"/>
    <x v="1"/>
    <x v="4"/>
    <s v="Graduate"/>
    <n v="3"/>
    <x v="1"/>
    <n v="12.970599999999999"/>
    <n v="77.652900000000002"/>
    <n v="560075"/>
    <s v="Yes"/>
    <s v="Positive"/>
  </r>
  <r>
    <n v="29"/>
    <s v="Male"/>
    <s v="Single"/>
    <x v="2"/>
    <x v="2"/>
    <s v="Graduate"/>
    <n v="6"/>
    <x v="0"/>
    <n v="12.884499999999999"/>
    <n v="77.6036"/>
    <n v="560076"/>
    <s v="Yes"/>
    <s v="Positive"/>
  </r>
  <r>
    <n v="21"/>
    <s v="Male"/>
    <s v="Single"/>
    <x v="0"/>
    <x v="0"/>
    <s v="Graduate"/>
    <n v="5"/>
    <x v="0"/>
    <n v="12.978300000000001"/>
    <n v="77.640799999999999"/>
    <n v="560038"/>
    <s v="Yes"/>
    <s v="Positive"/>
  </r>
  <r>
    <n v="24"/>
    <s v="Female"/>
    <s v="Single"/>
    <x v="2"/>
    <x v="4"/>
    <s v="Post Graduate"/>
    <n v="3"/>
    <x v="1"/>
    <n v="13.010300000000001"/>
    <n v="77.579599999999999"/>
    <n v="560080"/>
    <s v="No"/>
    <s v="Negative "/>
  </r>
  <r>
    <n v="26"/>
    <s v="Male"/>
    <s v="Prefer not to say"/>
    <x v="2"/>
    <x v="2"/>
    <s v="Post Graduate"/>
    <n v="2"/>
    <x v="1"/>
    <n v="13.010300000000001"/>
    <n v="77.579599999999999"/>
    <n v="560080"/>
    <s v="Yes"/>
    <s v="Positive"/>
  </r>
  <r>
    <n v="25"/>
    <s v="Male"/>
    <s v="Married"/>
    <x v="1"/>
    <x v="2"/>
    <s v="Ph.D"/>
    <n v="3"/>
    <x v="1"/>
    <n v="12.9306"/>
    <n v="77.543400000000005"/>
    <n v="560085"/>
    <s v="Yes"/>
    <s v="Positive"/>
  </r>
  <r>
    <n v="29"/>
    <s v="Male"/>
    <s v="Single"/>
    <x v="1"/>
    <x v="4"/>
    <s v="Graduate"/>
    <n v="3"/>
    <x v="1"/>
    <n v="13.0641"/>
    <n v="77.593100000000007"/>
    <n v="560092"/>
    <s v="No"/>
    <s v="Negative "/>
  </r>
  <r>
    <n v="22"/>
    <s v="Male"/>
    <s v="Single"/>
    <x v="0"/>
    <x v="0"/>
    <s v="Graduate"/>
    <n v="3"/>
    <x v="1"/>
    <n v="13.0158"/>
    <n v="77.539000000000001"/>
    <n v="560096"/>
    <s v="Yes"/>
    <s v="Positive"/>
  </r>
  <r>
    <n v="24"/>
    <s v="Male"/>
    <s v="Single"/>
    <x v="0"/>
    <x v="0"/>
    <s v="Graduate"/>
    <n v="2"/>
    <x v="1"/>
    <n v="12.956099999999999"/>
    <n v="77.592100000000002"/>
    <n v="560027"/>
    <s v="Yes"/>
    <s v="Positive"/>
  </r>
  <r>
    <n v="27"/>
    <s v="Male"/>
    <s v="Married"/>
    <x v="1"/>
    <x v="4"/>
    <s v="Graduate"/>
    <n v="2"/>
    <x v="1"/>
    <n v="12.884499999999999"/>
    <n v="77.6036"/>
    <n v="560076"/>
    <s v="Yes"/>
    <s v="Positive"/>
  </r>
  <r>
    <n v="23"/>
    <s v="Female"/>
    <s v="Single"/>
    <x v="0"/>
    <x v="0"/>
    <s v="Post Graduate"/>
    <n v="3"/>
    <x v="1"/>
    <n v="12.9369"/>
    <n v="77.640699999999995"/>
    <n v="560095"/>
    <s v="No"/>
    <s v="Positive"/>
  </r>
  <r>
    <n v="32"/>
    <s v="Male"/>
    <s v="Married"/>
    <x v="1"/>
    <x v="2"/>
    <s v="Post Graduate"/>
    <n v="6"/>
    <x v="0"/>
    <n v="12.9369"/>
    <n v="77.640699999999995"/>
    <n v="560095"/>
    <s v="Yes"/>
    <s v="Positive"/>
  </r>
  <r>
    <n v="22"/>
    <s v="Female"/>
    <s v="Single"/>
    <x v="0"/>
    <x v="0"/>
    <s v="Graduate"/>
    <n v="2"/>
    <x v="1"/>
    <n v="12.9369"/>
    <n v="77.640699999999995"/>
    <n v="560095"/>
    <s v="Yes"/>
    <s v="Positive"/>
  </r>
  <r>
    <n v="28"/>
    <s v="Male"/>
    <s v="Married"/>
    <x v="1"/>
    <x v="4"/>
    <s v="Graduate"/>
    <n v="3"/>
    <x v="1"/>
    <n v="12.9369"/>
    <n v="77.640699999999995"/>
    <n v="560095"/>
    <s v="Yes"/>
    <s v="Positive"/>
  </r>
  <r>
    <n v="23"/>
    <s v="Female"/>
    <s v="Single"/>
    <x v="0"/>
    <x v="0"/>
    <s v="Post Graduate"/>
    <n v="2"/>
    <x v="1"/>
    <n v="13.0158"/>
    <n v="77.539000000000001"/>
    <n v="560096"/>
    <s v="Yes"/>
    <s v="Positive"/>
  </r>
  <r>
    <n v="30"/>
    <s v="Male"/>
    <s v="Married"/>
    <x v="2"/>
    <x v="2"/>
    <s v="Graduate"/>
    <n v="1"/>
    <x v="2"/>
    <n v="13.0809"/>
    <n v="77.5565"/>
    <n v="560097"/>
    <s v="No"/>
    <s v="Negative "/>
  </r>
  <r>
    <n v="21"/>
    <s v="Male"/>
    <s v="Single"/>
    <x v="0"/>
    <x v="0"/>
    <s v="Graduate"/>
    <n v="3"/>
    <x v="1"/>
    <n v="13.0641"/>
    <n v="77.593100000000007"/>
    <n v="560092"/>
    <s v="Yes"/>
    <s v="Positive"/>
  </r>
  <r>
    <n v="26"/>
    <s v="Female"/>
    <s v="Married"/>
    <x v="1"/>
    <x v="1"/>
    <s v="Graduate"/>
    <n v="6"/>
    <x v="0"/>
    <n v="12.985900000000001"/>
    <n v="77.671300000000002"/>
    <n v="560093"/>
    <s v="No"/>
    <s v="Negative "/>
  </r>
  <r>
    <n v="25"/>
    <s v="Male"/>
    <s v="Single"/>
    <x v="2"/>
    <x v="2"/>
    <s v="School"/>
    <n v="3"/>
    <x v="1"/>
    <n v="12.985900000000001"/>
    <n v="77.671300000000002"/>
    <n v="560093"/>
    <s v="Yes"/>
    <s v="Positive"/>
  </r>
  <r>
    <n v="31"/>
    <s v="Male"/>
    <s v="Prefer not to say"/>
    <x v="1"/>
    <x v="1"/>
    <s v="Graduate"/>
    <n v="1"/>
    <x v="2"/>
    <n v="12.986599999999999"/>
    <n v="77.490399999999994"/>
    <n v="560091"/>
    <s v="No"/>
    <s v="Negative "/>
  </r>
  <r>
    <n v="23"/>
    <s v="Female"/>
    <s v="Single"/>
    <x v="1"/>
    <x v="4"/>
    <s v="Post Graduate"/>
    <n v="2"/>
    <x v="1"/>
    <n v="12.9847"/>
    <n v="77.549099999999996"/>
    <n v="560100"/>
    <s v="Yes"/>
    <s v="Positive"/>
  </r>
  <r>
    <n v="29"/>
    <s v="Female"/>
    <s v="Married"/>
    <x v="1"/>
    <x v="4"/>
    <s v="Ph.D"/>
    <n v="3"/>
    <x v="1"/>
    <n v="12.9847"/>
    <n v="77.549099999999996"/>
    <n v="560100"/>
    <s v="Yes"/>
    <s v="Positive"/>
  </r>
  <r>
    <n v="21"/>
    <s v="Male"/>
    <s v="Single"/>
    <x v="0"/>
    <x v="0"/>
    <s v="Graduate"/>
    <n v="6"/>
    <x v="0"/>
    <n v="12.9847"/>
    <n v="77.549099999999996"/>
    <n v="560100"/>
    <s v="Yes"/>
    <s v="Positive"/>
  </r>
  <r>
    <n v="20"/>
    <s v="Male"/>
    <s v="Single"/>
    <x v="0"/>
    <x v="0"/>
    <s v="Graduate"/>
    <n v="3"/>
    <x v="1"/>
    <n v="12.9299"/>
    <n v="77.684799999999996"/>
    <n v="560103"/>
    <s v="Yes"/>
    <s v="Positive"/>
  </r>
  <r>
    <n v="22"/>
    <s v="Male"/>
    <s v="Single"/>
    <x v="1"/>
    <x v="3"/>
    <s v="Graduate"/>
    <n v="2"/>
    <x v="1"/>
    <n v="12.9299"/>
    <n v="77.684799999999996"/>
    <n v="560103"/>
    <s v="Yes"/>
    <s v="Positive"/>
  </r>
  <r>
    <n v="30"/>
    <s v="Female"/>
    <s v="Married"/>
    <x v="3"/>
    <x v="0"/>
    <s v="School"/>
    <n v="6"/>
    <x v="0"/>
    <n v="12.982799999999999"/>
    <n v="77.613100000000003"/>
    <n v="560042"/>
    <s v="No"/>
    <s v="Positive"/>
  </r>
  <r>
    <n v="27"/>
    <s v="Male"/>
    <s v="Married"/>
    <x v="2"/>
    <x v="2"/>
    <s v="Graduate"/>
    <n v="3"/>
    <x v="1"/>
    <n v="12.989000000000001"/>
    <n v="77.533199999999994"/>
    <n v="560079"/>
    <s v="Yes"/>
    <s v="Positive"/>
  </r>
  <r>
    <n v="23"/>
    <s v="Male"/>
    <s v="Single"/>
    <x v="0"/>
    <x v="0"/>
    <s v="Post Graduate"/>
    <n v="2"/>
    <x v="1"/>
    <n v="12.977"/>
    <n v="77.577299999999994"/>
    <n v="560009"/>
    <s v="No"/>
    <s v="Negative "/>
  </r>
  <r>
    <n v="30"/>
    <s v="Male"/>
    <s v="Married"/>
    <x v="2"/>
    <x v="4"/>
    <s v="School"/>
    <n v="6"/>
    <x v="0"/>
    <n v="12.9251"/>
    <n v="77.499200000000002"/>
    <n v="560059"/>
    <s v="No"/>
    <s v="Negative "/>
  </r>
  <r>
    <n v="23"/>
    <s v="Male"/>
    <s v="Single"/>
    <x v="0"/>
    <x v="0"/>
    <s v="Post Graduate"/>
    <n v="3"/>
    <x v="1"/>
    <n v="12.996700000000001"/>
    <n v="77.758200000000002"/>
    <n v="560067"/>
    <s v="Yes"/>
    <s v="Positive"/>
  </r>
  <r>
    <n v="28"/>
    <s v="Female"/>
    <s v="Married"/>
    <x v="1"/>
    <x v="4"/>
    <s v="Post Graduate"/>
    <n v="6"/>
    <x v="0"/>
    <n v="12.996700000000001"/>
    <n v="77.758200000000002"/>
    <n v="560067"/>
    <s v="No"/>
    <s v="Negative "/>
  </r>
  <r>
    <n v="30"/>
    <s v="Male"/>
    <s v="Married"/>
    <x v="2"/>
    <x v="2"/>
    <s v="Graduate"/>
    <n v="6"/>
    <x v="0"/>
    <n v="12.996700000000001"/>
    <n v="77.758200000000002"/>
    <n v="560067"/>
    <s v="Yes"/>
    <s v="Positive"/>
  </r>
  <r>
    <n v="24"/>
    <s v="Female"/>
    <s v="Married"/>
    <x v="1"/>
    <x v="4"/>
    <s v="Post Graduate"/>
    <n v="2"/>
    <x v="1"/>
    <n v="12.957000000000001"/>
    <n v="77.563699999999997"/>
    <n v="560018"/>
    <s v="Yes"/>
    <s v="Negative "/>
  </r>
  <r>
    <n v="21"/>
    <s v="Male"/>
    <s v="Single"/>
    <x v="0"/>
    <x v="0"/>
    <s v="Graduate"/>
    <n v="2"/>
    <x v="1"/>
    <n v="12.957000000000001"/>
    <n v="77.563699999999997"/>
    <n v="560018"/>
    <s v="No"/>
    <s v="Negative "/>
  </r>
  <r>
    <n v="23"/>
    <s v="Female"/>
    <s v="Prefer not to say"/>
    <x v="1"/>
    <x v="3"/>
    <s v="Graduate"/>
    <n v="3"/>
    <x v="1"/>
    <n v="12.988899999999999"/>
    <n v="77.574100000000001"/>
    <n v="560020"/>
    <s v="No"/>
    <s v="Negative "/>
  </r>
  <r>
    <n v="25"/>
    <s v="Male"/>
    <s v="Married"/>
    <x v="2"/>
    <x v="2"/>
    <s v="Post Graduate"/>
    <n v="4"/>
    <x v="0"/>
    <n v="13.0206"/>
    <n v="77.647900000000007"/>
    <n v="560043"/>
    <s v="Yes"/>
    <s v="Positive"/>
  </r>
  <r>
    <n v="24"/>
    <s v="Female"/>
    <s v="Single"/>
    <x v="1"/>
    <x v="4"/>
    <s v="Graduate"/>
    <n v="2"/>
    <x v="1"/>
    <n v="12.8893"/>
    <n v="77.639899999999997"/>
    <n v="560068"/>
    <s v="Yes"/>
    <s v="Positive"/>
  </r>
  <r>
    <n v="26"/>
    <s v="Male"/>
    <s v="Married"/>
    <x v="1"/>
    <x v="3"/>
    <s v="Graduate"/>
    <n v="3"/>
    <x v="1"/>
    <n v="12.8893"/>
    <n v="77.639899999999997"/>
    <n v="560068"/>
    <s v="No"/>
    <s v="Negative "/>
  </r>
  <r>
    <n v="25"/>
    <s v="Female"/>
    <s v="Single"/>
    <x v="1"/>
    <x v="4"/>
    <s v="Post Graduate"/>
    <n v="2"/>
    <x v="1"/>
    <n v="12.996700000000001"/>
    <n v="77.758200000000002"/>
    <n v="560067"/>
    <s v="Yes"/>
    <s v="Positive"/>
  </r>
  <r>
    <n v="22"/>
    <s v="Male"/>
    <s v="Single"/>
    <x v="0"/>
    <x v="4"/>
    <s v="Graduate"/>
    <n v="3"/>
    <x v="1"/>
    <n v="12.978300000000001"/>
    <n v="77.640799999999999"/>
    <n v="560038"/>
    <s v="Yes"/>
    <s v="Positive"/>
  </r>
  <r>
    <n v="26"/>
    <s v="Female"/>
    <s v="Single"/>
    <x v="1"/>
    <x v="4"/>
    <s v="Post Graduate"/>
    <n v="2"/>
    <x v="1"/>
    <n v="12.978300000000001"/>
    <n v="77.640799999999999"/>
    <n v="560038"/>
    <s v="Yes"/>
    <s v="Positive"/>
  </r>
  <r>
    <n v="23"/>
    <s v="Male"/>
    <s v="Single"/>
    <x v="1"/>
    <x v="3"/>
    <s v="Graduate"/>
    <n v="2"/>
    <x v="1"/>
    <n v="12.9925"/>
    <n v="77.563299999999998"/>
    <n v="560021"/>
    <s v="Yes"/>
    <s v="Positive"/>
  </r>
  <r>
    <n v="21"/>
    <s v="Female"/>
    <s v="Single"/>
    <x v="1"/>
    <x v="1"/>
    <s v="Graduate"/>
    <n v="2"/>
    <x v="1"/>
    <n v="12.9925"/>
    <n v="77.563299999999998"/>
    <n v="560021"/>
    <s v="No"/>
    <s v="Negative "/>
  </r>
  <r>
    <n v="25"/>
    <s v="Male"/>
    <s v="Married"/>
    <x v="2"/>
    <x v="4"/>
    <s v="Graduate"/>
    <n v="3"/>
    <x v="1"/>
    <n v="12.956099999999999"/>
    <n v="77.592100000000002"/>
    <n v="560027"/>
    <s v="Yes"/>
    <s v="Positive"/>
  </r>
  <r>
    <n v="24"/>
    <s v="Female"/>
    <s v="Married"/>
    <x v="1"/>
    <x v="3"/>
    <s v="Post Graduate"/>
    <n v="2"/>
    <x v="1"/>
    <n v="12.956099999999999"/>
    <n v="77.592100000000002"/>
    <n v="560027"/>
    <s v="Yes"/>
    <s v="Positive"/>
  </r>
  <r>
    <n v="22"/>
    <s v="Male"/>
    <s v="Married"/>
    <x v="0"/>
    <x v="0"/>
    <s v="Graduate"/>
    <n v="2"/>
    <x v="1"/>
    <n v="13.073399999999999"/>
    <n v="77.546400000000006"/>
    <n v="560014"/>
    <s v="Yes"/>
    <s v="Positive"/>
  </r>
  <r>
    <n v="24"/>
    <s v="Male"/>
    <s v="Married"/>
    <x v="1"/>
    <x v="2"/>
    <s v="Post Graduate"/>
    <n v="3"/>
    <x v="1"/>
    <n v="12.951499999999999"/>
    <n v="77.492099999999994"/>
    <n v="560056"/>
    <s v="Yes"/>
    <s v="Positive"/>
  </r>
  <r>
    <n v="22"/>
    <s v="Female"/>
    <s v="Single"/>
    <x v="0"/>
    <x v="0"/>
    <s v="Graduate"/>
    <n v="2"/>
    <x v="1"/>
    <n v="12.951499999999999"/>
    <n v="77.492099999999994"/>
    <n v="560056"/>
    <s v="Yes"/>
    <s v="Positive"/>
  </r>
  <r>
    <n v="30"/>
    <s v="Male"/>
    <s v="Married"/>
    <x v="1"/>
    <x v="2"/>
    <s v="Graduate"/>
    <n v="5"/>
    <x v="0"/>
    <n v="12.9719"/>
    <n v="77.512799999999999"/>
    <n v="560072"/>
    <s v="No"/>
    <s v="Negative "/>
  </r>
  <r>
    <n v="23"/>
    <s v="Female"/>
    <s v="Prefer not to say"/>
    <x v="1"/>
    <x v="3"/>
    <s v="Graduate"/>
    <n v="4"/>
    <x v="0"/>
    <n v="12.9048"/>
    <n v="77.682100000000005"/>
    <n v="560036"/>
    <s v="Yes"/>
    <s v="Positive"/>
  </r>
  <r>
    <n v="19"/>
    <s v="Male"/>
    <s v="Single"/>
    <x v="0"/>
    <x v="0"/>
    <s v="Graduate"/>
    <n v="6"/>
    <x v="0"/>
    <n v="12.9048"/>
    <n v="77.682100000000005"/>
    <n v="560036"/>
    <s v="Yes"/>
    <s v="Positive"/>
  </r>
  <r>
    <n v="21"/>
    <s v="Female"/>
    <s v="Single"/>
    <x v="0"/>
    <x v="0"/>
    <s v="Graduate"/>
    <n v="2"/>
    <x v="1"/>
    <n v="13.010300000000001"/>
    <n v="77.579599999999999"/>
    <n v="560080"/>
    <s v="Yes"/>
    <s v="Positive"/>
  </r>
  <r>
    <n v="23"/>
    <s v="Male"/>
    <s v="Single"/>
    <x v="0"/>
    <x v="0"/>
    <s v="Graduate"/>
    <n v="4"/>
    <x v="0"/>
    <n v="13.010300000000001"/>
    <n v="77.579599999999999"/>
    <n v="560080"/>
    <s v="Yes"/>
    <s v="Positive"/>
  </r>
  <r>
    <n v="24"/>
    <s v="Female"/>
    <s v="Single"/>
    <x v="1"/>
    <x v="4"/>
    <s v="Graduate"/>
    <n v="3"/>
    <x v="1"/>
    <n v="12.8893"/>
    <n v="77.639899999999997"/>
    <n v="560068"/>
    <s v="Yes"/>
    <s v="Positive"/>
  </r>
  <r>
    <n v="26"/>
    <s v="Female"/>
    <s v="Married"/>
    <x v="1"/>
    <x v="3"/>
    <s v="Post Graduate"/>
    <n v="2"/>
    <x v="1"/>
    <n v="12.982799999999999"/>
    <n v="77.613100000000003"/>
    <n v="560042"/>
    <s v="No"/>
    <s v="Positive"/>
  </r>
  <r>
    <n v="26"/>
    <s v="Female"/>
    <s v="Single"/>
    <x v="0"/>
    <x v="0"/>
    <s v="Ph.D"/>
    <n v="2"/>
    <x v="1"/>
    <n v="12.9757"/>
    <n v="77.558599999999998"/>
    <n v="560023"/>
    <s v="Yes"/>
    <s v="Positive"/>
  </r>
  <r>
    <n v="25"/>
    <s v="Female"/>
    <s v="Single"/>
    <x v="0"/>
    <x v="3"/>
    <s v="Graduate"/>
    <n v="2"/>
    <x v="1"/>
    <n v="12.9757"/>
    <n v="77.558599999999998"/>
    <n v="560023"/>
    <s v="Yes"/>
    <s v="Positive"/>
  </r>
  <r>
    <n v="28"/>
    <s v="Female"/>
    <s v="Married"/>
    <x v="1"/>
    <x v="4"/>
    <s v="Graduate"/>
    <n v="5"/>
    <x v="0"/>
    <n v="12.9757"/>
    <n v="77.558599999999998"/>
    <n v="560023"/>
    <s v="No"/>
    <s v="Negative "/>
  </r>
  <r>
    <n v="25"/>
    <s v="Female"/>
    <s v="Single"/>
    <x v="0"/>
    <x v="0"/>
    <s v="Post Graduate"/>
    <n v="3"/>
    <x v="1"/>
    <n v="13.073399999999999"/>
    <n v="77.546400000000006"/>
    <n v="560014"/>
    <s v="Yes"/>
    <s v="Positive"/>
  </r>
  <r>
    <n v="20"/>
    <s v="Female"/>
    <s v="Single"/>
    <x v="0"/>
    <x v="0"/>
    <s v="Graduate"/>
    <n v="2"/>
    <x v="1"/>
    <n v="13.073399999999999"/>
    <n v="77.546400000000006"/>
    <n v="560014"/>
    <s v="Yes"/>
    <s v="Positive"/>
  </r>
  <r>
    <n v="27"/>
    <s v="Female"/>
    <s v="Married"/>
    <x v="2"/>
    <x v="2"/>
    <s v="Graduate"/>
    <n v="6"/>
    <x v="0"/>
    <n v="13.073399999999999"/>
    <n v="77.546400000000006"/>
    <n v="560014"/>
    <s v="No"/>
    <s v="Positive"/>
  </r>
  <r>
    <n v="25"/>
    <s v="Female"/>
    <s v="Married"/>
    <x v="1"/>
    <x v="4"/>
    <s v="Graduate"/>
    <n v="3"/>
    <x v="1"/>
    <n v="13.0626"/>
    <n v="77.528400000000005"/>
    <n v="560015"/>
    <s v="No"/>
    <s v="Positive"/>
  </r>
  <r>
    <n v="24"/>
    <s v="Female"/>
    <s v="Single"/>
    <x v="0"/>
    <x v="0"/>
    <s v="Post Graduate"/>
    <n v="5"/>
    <x v="0"/>
    <n v="13.0626"/>
    <n v="77.528400000000005"/>
    <n v="560015"/>
    <s v="No"/>
    <s v="Negative "/>
  </r>
  <r>
    <n v="25"/>
    <s v="Female"/>
    <s v="Married"/>
    <x v="1"/>
    <x v="2"/>
    <s v="Graduate"/>
    <n v="1"/>
    <x v="2"/>
    <n v="12.977"/>
    <n v="77.577299999999994"/>
    <n v="560009"/>
    <s v="No"/>
    <s v="Negative "/>
  </r>
  <r>
    <n v="25"/>
    <s v="Female"/>
    <s v="Prefer not to say"/>
    <x v="1"/>
    <x v="4"/>
    <s v="Post Graduate"/>
    <n v="3"/>
    <x v="1"/>
    <n v="12.997999999999999"/>
    <n v="77.622699999999995"/>
    <n v="560005"/>
    <s v="No"/>
    <s v="Negative "/>
  </r>
  <r>
    <n v="24"/>
    <s v="Female"/>
    <s v="Married"/>
    <x v="0"/>
    <x v="1"/>
    <s v="Ph.D"/>
    <n v="5"/>
    <x v="0"/>
    <n v="13.0626"/>
    <n v="77.528400000000005"/>
    <n v="560015"/>
    <s v="Yes"/>
    <s v="Positive"/>
  </r>
  <r>
    <n v="24"/>
    <s v="Male"/>
    <s v="Single"/>
    <x v="0"/>
    <x v="0"/>
    <s v="Post Graduate"/>
    <n v="3"/>
    <x v="1"/>
    <n v="13.0626"/>
    <n v="77.528400000000005"/>
    <n v="560015"/>
    <s v="Yes"/>
    <s v="Positive"/>
  </r>
  <r>
    <n v="22"/>
    <s v="Male"/>
    <s v="Single"/>
    <x v="1"/>
    <x v="3"/>
    <s v="Graduate"/>
    <n v="1"/>
    <x v="2"/>
    <n v="13.0138"/>
    <n v="77.587699999999998"/>
    <n v="560006"/>
    <s v="Yes"/>
    <s v="Positive"/>
  </r>
  <r>
    <n v="28"/>
    <s v="Male"/>
    <s v="Single"/>
    <x v="1"/>
    <x v="4"/>
    <s v="Post Graduate"/>
    <n v="2"/>
    <x v="1"/>
    <n v="13.0138"/>
    <n v="77.587699999999998"/>
    <n v="560006"/>
    <s v="No"/>
    <s v="Negative "/>
  </r>
  <r>
    <n v="25"/>
    <s v="Female"/>
    <s v="Single"/>
    <x v="1"/>
    <x v="2"/>
    <s v="Post Graduate"/>
    <n v="6"/>
    <x v="0"/>
    <n v="13.013999999999999"/>
    <n v="77.565799999999996"/>
    <n v="560012"/>
    <s v="No"/>
    <s v="Negative "/>
  </r>
  <r>
    <n v="21"/>
    <s v="Male"/>
    <s v="Married"/>
    <x v="1"/>
    <x v="2"/>
    <s v="Ph.D"/>
    <n v="3"/>
    <x v="1"/>
    <n v="12.9306"/>
    <n v="77.543400000000005"/>
    <n v="560085"/>
    <s v="Yes"/>
    <s v="Positive"/>
  </r>
  <r>
    <n v="27"/>
    <s v="Male"/>
    <s v="Married"/>
    <x v="2"/>
    <x v="4"/>
    <s v="Graduate"/>
    <n v="6"/>
    <x v="0"/>
    <n v="12.9217"/>
    <n v="77.593599999999995"/>
    <n v="560041"/>
    <s v="No"/>
    <s v="Positive"/>
  </r>
  <r>
    <n v="22"/>
    <s v="Male"/>
    <s v="Married"/>
    <x v="2"/>
    <x v="3"/>
    <s v="School"/>
    <n v="3"/>
    <x v="1"/>
    <n v="12.981999999999999"/>
    <n v="77.625600000000006"/>
    <n v="560008"/>
    <s v="Yes"/>
    <s v="Negative "/>
  </r>
  <r>
    <n v="29"/>
    <s v="Female"/>
    <s v="Married"/>
    <x v="1"/>
    <x v="4"/>
    <s v="Graduate"/>
    <n v="4"/>
    <x v="0"/>
    <n v="12.978300000000001"/>
    <n v="77.640799999999999"/>
    <n v="560038"/>
    <s v="No"/>
    <s v="Positive"/>
  </r>
  <r>
    <n v="21"/>
    <s v="Male"/>
    <s v="Single"/>
    <x v="0"/>
    <x v="0"/>
    <s v="Graduate"/>
    <n v="2"/>
    <x v="1"/>
    <n v="13.001200000000001"/>
    <n v="77.599500000000006"/>
    <n v="560046"/>
    <s v="No"/>
    <s v="Positive"/>
  </r>
  <r>
    <n v="31"/>
    <s v="Male"/>
    <s v="Married"/>
    <x v="1"/>
    <x v="2"/>
    <s v="Ph.D"/>
    <n v="3"/>
    <x v="1"/>
    <n v="12.9306"/>
    <n v="77.543400000000005"/>
    <n v="560085"/>
    <s v="Yes"/>
    <s v="Positive"/>
  </r>
  <r>
    <n v="30"/>
    <s v="Male"/>
    <s v="Married"/>
    <x v="1"/>
    <x v="2"/>
    <s v="Post Graduate"/>
    <n v="6"/>
    <x v="0"/>
    <n v="12.9369"/>
    <n v="77.640699999999995"/>
    <n v="560095"/>
    <s v="Yes"/>
    <s v="Positive"/>
  </r>
  <r>
    <n v="21"/>
    <s v="Male"/>
    <s v="Single"/>
    <x v="0"/>
    <x v="0"/>
    <s v="Graduate"/>
    <n v="3"/>
    <x v="1"/>
    <n v="13.0641"/>
    <n v="77.593100000000007"/>
    <n v="560092"/>
    <s v="Yes"/>
    <s v="Negative "/>
  </r>
  <r>
    <n v="23"/>
    <s v="Male"/>
    <s v="Single"/>
    <x v="0"/>
    <x v="1"/>
    <s v="Post Graduate"/>
    <n v="2"/>
    <x v="1"/>
    <n v="12.977"/>
    <n v="77.577299999999994"/>
    <n v="560009"/>
    <s v="Yes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56F62-A606-4595-BCF8-F89239B793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eedback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F98D5-A8FA-4500-A5DE-888CE992D86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5541C-FB4C-4EA4-A67A-7446349FE24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g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374B9-F688-4B0E-907F-D7DB29D7998F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g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48CB-89E8-423F-A8DA-721A80BFEB33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2" t="s">
        <v>42</v>
      </c>
      <c r="B3" t="s">
        <v>44</v>
      </c>
    </row>
    <row r="4" spans="1:2" x14ac:dyDescent="0.35">
      <c r="A4" s="3" t="s">
        <v>25</v>
      </c>
      <c r="B4" s="4">
        <v>54</v>
      </c>
    </row>
    <row r="5" spans="1:2" x14ac:dyDescent="0.35">
      <c r="A5" s="3" t="s">
        <v>20</v>
      </c>
      <c r="B5" s="4">
        <v>231</v>
      </c>
    </row>
    <row r="6" spans="1:2" x14ac:dyDescent="0.35">
      <c r="A6" s="3" t="s">
        <v>43</v>
      </c>
      <c r="B6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EFF1-7F80-4902-863C-B568EFAE7D83}">
  <dimension ref="A3:B7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2" t="s">
        <v>42</v>
      </c>
      <c r="B3" t="s">
        <v>44</v>
      </c>
    </row>
    <row r="4" spans="1:2" x14ac:dyDescent="0.35">
      <c r="A4" s="3" t="s">
        <v>18</v>
      </c>
      <c r="B4" s="4">
        <v>105</v>
      </c>
    </row>
    <row r="5" spans="1:2" x14ac:dyDescent="0.35">
      <c r="A5" s="3" t="s">
        <v>32</v>
      </c>
      <c r="B5" s="4">
        <v>18</v>
      </c>
    </row>
    <row r="6" spans="1:2" x14ac:dyDescent="0.35">
      <c r="A6" s="3" t="s">
        <v>23</v>
      </c>
      <c r="B6" s="4">
        <v>162</v>
      </c>
    </row>
    <row r="7" spans="1:2" x14ac:dyDescent="0.35">
      <c r="A7" s="3" t="s">
        <v>43</v>
      </c>
      <c r="B7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6230-A96D-4F86-BF08-39EC8BA8483E}">
  <dimension ref="A3:B8"/>
  <sheetViews>
    <sheetView workbookViewId="0">
      <selection activeCell="D18" sqref="D18"/>
    </sheetView>
  </sheetViews>
  <sheetFormatPr defaultRowHeight="14.5" x14ac:dyDescent="0.35"/>
  <cols>
    <col min="1" max="1" width="13.6328125" bestFit="1" customWidth="1"/>
    <col min="2" max="2" width="10.1796875" bestFit="1" customWidth="1"/>
  </cols>
  <sheetData>
    <row r="3" spans="1:2" x14ac:dyDescent="0.35">
      <c r="A3" s="2" t="s">
        <v>42</v>
      </c>
      <c r="B3" t="s">
        <v>45</v>
      </c>
    </row>
    <row r="4" spans="1:2" x14ac:dyDescent="0.35">
      <c r="A4" s="3" t="s">
        <v>27</v>
      </c>
      <c r="B4" s="4">
        <v>2473</v>
      </c>
    </row>
    <row r="5" spans="1:2" x14ac:dyDescent="0.35">
      <c r="A5" s="3" t="s">
        <v>36</v>
      </c>
      <c r="B5" s="4">
        <v>273</v>
      </c>
    </row>
    <row r="6" spans="1:2" x14ac:dyDescent="0.35">
      <c r="A6" s="3" t="s">
        <v>29</v>
      </c>
      <c r="B6" s="4">
        <v>1005</v>
      </c>
    </row>
    <row r="7" spans="1:2" x14ac:dyDescent="0.35">
      <c r="A7" s="3" t="s">
        <v>15</v>
      </c>
      <c r="B7" s="4">
        <v>3282</v>
      </c>
    </row>
    <row r="8" spans="1:2" x14ac:dyDescent="0.35">
      <c r="A8" s="3" t="s">
        <v>43</v>
      </c>
      <c r="B8" s="4">
        <v>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E2D9-E92D-4654-A35F-7735E17489EE}">
  <dimension ref="A3:B9"/>
  <sheetViews>
    <sheetView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10.1796875" bestFit="1" customWidth="1"/>
  </cols>
  <sheetData>
    <row r="3" spans="1:2" x14ac:dyDescent="0.35">
      <c r="A3" s="2" t="s">
        <v>42</v>
      </c>
      <c r="B3" t="s">
        <v>45</v>
      </c>
    </row>
    <row r="4" spans="1:2" x14ac:dyDescent="0.35">
      <c r="A4" s="3" t="s">
        <v>30</v>
      </c>
      <c r="B4" s="4">
        <v>890</v>
      </c>
    </row>
    <row r="5" spans="1:2" x14ac:dyDescent="0.35">
      <c r="A5" s="3" t="s">
        <v>31</v>
      </c>
      <c r="B5" s="4">
        <v>1363</v>
      </c>
    </row>
    <row r="6" spans="1:2" x14ac:dyDescent="0.35">
      <c r="A6" s="3" t="s">
        <v>21</v>
      </c>
      <c r="B6" s="4">
        <v>451</v>
      </c>
    </row>
    <row r="7" spans="1:2" x14ac:dyDescent="0.35">
      <c r="A7" s="3" t="s">
        <v>28</v>
      </c>
      <c r="B7" s="4">
        <v>1284</v>
      </c>
    </row>
    <row r="8" spans="1:2" x14ac:dyDescent="0.35">
      <c r="A8" s="3" t="s">
        <v>16</v>
      </c>
      <c r="B8" s="4">
        <v>3045</v>
      </c>
    </row>
    <row r="9" spans="1:2" x14ac:dyDescent="0.35">
      <c r="A9" s="3" t="s">
        <v>43</v>
      </c>
      <c r="B9" s="4">
        <v>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sqref="A1:M28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5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5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5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5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5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5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5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5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5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5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5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5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5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5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5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5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5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5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5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5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5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5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5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5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5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5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5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5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5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5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5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5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5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5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5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5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5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5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5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5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5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5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5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5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5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5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5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5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5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5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5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5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5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5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5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5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5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5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5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5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5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5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5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5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5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5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5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5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5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5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5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5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5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5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5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5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5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5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5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5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5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5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5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5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5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5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5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5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5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5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5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5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5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5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5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5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5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5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5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5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5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5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5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5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5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5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5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5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5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5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5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5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5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5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5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5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5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5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5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5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5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5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5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5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5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5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5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5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5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5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5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5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5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5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5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5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5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5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5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5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5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5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5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5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5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5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5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5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5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5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5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5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5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5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5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5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5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5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5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5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5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5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5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5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5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5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5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5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5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5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5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5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5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5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5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5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5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5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5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5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5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5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5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5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5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5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5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5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5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5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5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5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5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5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5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5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5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5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5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5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5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5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5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5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5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5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5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5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5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5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5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5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5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5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5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5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5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5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5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5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5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5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5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5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5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5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5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5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5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5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5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5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5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5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5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5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5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5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5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5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5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5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5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5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5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5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5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5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5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5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5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5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5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5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5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5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5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5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5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5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5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5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5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5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5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5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5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5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5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5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5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5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5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5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5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5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5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5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5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5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5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5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5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5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1483-3B4C-4BCB-8D8F-4EC619CBF4C6}">
  <dimension ref="A1:D10"/>
  <sheetViews>
    <sheetView tabSelected="1" workbookViewId="0">
      <selection activeCell="G10" sqref="G10"/>
    </sheetView>
  </sheetViews>
  <sheetFormatPr defaultRowHeight="14.5" x14ac:dyDescent="0.35"/>
  <cols>
    <col min="1" max="1" width="15" customWidth="1"/>
    <col min="2" max="2" width="15.54296875" customWidth="1"/>
    <col min="3" max="3" width="18.1796875" customWidth="1"/>
  </cols>
  <sheetData>
    <row r="1" spans="1:4" x14ac:dyDescent="0.35">
      <c r="A1" t="s">
        <v>39</v>
      </c>
      <c r="B1" t="s">
        <v>40</v>
      </c>
      <c r="C1" t="s">
        <v>41</v>
      </c>
    </row>
    <row r="2" spans="1:4" x14ac:dyDescent="0.35">
      <c r="A2">
        <f>COUNTA(Sheet1!A:A)-1</f>
        <v>285</v>
      </c>
      <c r="B2">
        <f>COUNTIF(Sheet1!M:M,"Positive")</f>
        <v>231</v>
      </c>
      <c r="C2">
        <f>COUNTIF(Sheet1!M:M,"Negative")</f>
        <v>0</v>
      </c>
    </row>
    <row r="10" spans="1:4" x14ac:dyDescent="0.35">
      <c r="D10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Preethika</cp:lastModifiedBy>
  <dcterms:created xsi:type="dcterms:W3CDTF">2026-09-19T16:35:21Z</dcterms:created>
  <dcterms:modified xsi:type="dcterms:W3CDTF">2026-10-13T16:32:56Z</dcterms:modified>
</cp:coreProperties>
</file>